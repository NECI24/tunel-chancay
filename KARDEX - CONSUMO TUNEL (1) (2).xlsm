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raining.nquispe\Downloads\"/>
    </mc:Choice>
  </mc:AlternateContent>
  <xr:revisionPtr revIDLastSave="0" documentId="13_ncr:1_{C59747A9-3EF5-462F-B4A3-D10E0982ACDB}" xr6:coauthVersionLast="47" xr6:coauthVersionMax="47" xr10:uidLastSave="{00000000-0000-0000-0000-000000000000}"/>
  <bookViews>
    <workbookView xWindow="-108" yWindow="-108" windowWidth="23256" windowHeight="14016" xr2:uid="{00000000-000D-0000-FFFF-FFFF00000000}"/>
  </bookViews>
  <sheets>
    <sheet name="RESUMEN DE CONSUMO" sheetId="8" r:id="rId1"/>
    <sheet name="INGRESO" sheetId="2" r:id="rId2"/>
    <sheet name="INGRESO DIGI" sheetId="6" r:id="rId3"/>
    <sheet name="BASE" sheetId="1" r:id="rId4"/>
    <sheet name="Hoja1" sheetId="4" state="hidden" r:id="rId5"/>
    <sheet name="ANALISIS" sheetId="3" state="hidden" r:id="rId6"/>
    <sheet name="INGRESO - INTELLISHOT" sheetId="5" r:id="rId7"/>
  </sheets>
  <definedNames>
    <definedName name="BASE" localSheetId="6">Tabla5[]</definedName>
    <definedName name="BASE">Tabla5[]</definedName>
    <definedName name="BD">BASE!$A$25:$AQ$403</definedName>
    <definedName name="DATOS">BASE!$A$25:$AQ$403</definedName>
  </definedNames>
  <calcPr calcId="191028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8" l="1"/>
  <c r="F11" i="8"/>
  <c r="D11" i="8"/>
  <c r="F12" i="8" l="1"/>
  <c r="D5" i="8"/>
  <c r="C5" i="8"/>
  <c r="B5" i="8"/>
  <c r="D12" i="8"/>
  <c r="H12" i="8"/>
  <c r="G8" i="1"/>
  <c r="O404" i="1"/>
  <c r="I404" i="1"/>
  <c r="H404" i="1"/>
  <c r="AF404" i="1"/>
  <c r="AP404" i="1"/>
  <c r="H318" i="1"/>
  <c r="H320" i="1"/>
  <c r="G19" i="1"/>
  <c r="I19" i="1"/>
  <c r="H201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49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71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159" i="1"/>
  <c r="H39" i="1"/>
  <c r="H40" i="1"/>
  <c r="H41" i="1"/>
  <c r="H42" i="1"/>
  <c r="H44" i="1"/>
  <c r="H45" i="1"/>
  <c r="H46" i="1"/>
  <c r="H47" i="1"/>
  <c r="H49" i="1"/>
  <c r="H50" i="1"/>
  <c r="H51" i="1"/>
  <c r="H52" i="1"/>
  <c r="H53" i="1"/>
  <c r="H54" i="1"/>
  <c r="H55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6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4" i="1"/>
  <c r="H117" i="1"/>
  <c r="H118" i="1"/>
  <c r="H119" i="1"/>
  <c r="H138" i="1"/>
  <c r="H141" i="1"/>
  <c r="H291" i="1"/>
  <c r="H293" i="1"/>
  <c r="H300" i="1"/>
  <c r="H308" i="1"/>
  <c r="H309" i="1"/>
  <c r="H310" i="1"/>
  <c r="H311" i="1"/>
  <c r="H312" i="1"/>
  <c r="H313" i="1"/>
  <c r="H314" i="1"/>
  <c r="H315" i="1"/>
  <c r="H316" i="1"/>
  <c r="H317" i="1"/>
  <c r="H319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6" i="1"/>
  <c r="H340" i="1"/>
  <c r="H375" i="1"/>
  <c r="H377" i="1"/>
  <c r="H379" i="1"/>
  <c r="H381" i="1"/>
  <c r="H383" i="1"/>
  <c r="H384" i="1"/>
  <c r="H386" i="1"/>
  <c r="H388" i="1"/>
  <c r="H390" i="1"/>
  <c r="H392" i="1"/>
  <c r="H393" i="1"/>
  <c r="H397" i="1"/>
  <c r="H399" i="1"/>
  <c r="H402" i="1"/>
  <c r="G17" i="1"/>
  <c r="G16" i="1"/>
  <c r="O403" i="1"/>
  <c r="I403" i="1"/>
  <c r="H403" i="1"/>
  <c r="AF403" i="1"/>
  <c r="AP403" i="1"/>
  <c r="O402" i="1"/>
  <c r="AF402" i="1"/>
  <c r="AP402" i="1"/>
  <c r="O401" i="1"/>
  <c r="I401" i="1"/>
  <c r="H401" i="1"/>
  <c r="AF401" i="1"/>
  <c r="AP401" i="1"/>
  <c r="AF400" i="1"/>
  <c r="AP400" i="1"/>
  <c r="K39" i="2"/>
  <c r="M39" i="2"/>
  <c r="O39" i="2"/>
  <c r="G11" i="1"/>
  <c r="O399" i="1"/>
  <c r="AF399" i="1"/>
  <c r="AP399" i="1"/>
  <c r="O398" i="1"/>
  <c r="AF398" i="1"/>
  <c r="AP398" i="1"/>
  <c r="G397" i="1"/>
  <c r="AF397" i="1"/>
  <c r="AP397" i="1"/>
  <c r="AP396" i="1"/>
  <c r="AF396" i="1"/>
  <c r="AP395" i="1"/>
  <c r="AF395" i="1"/>
  <c r="AP394" i="1"/>
  <c r="AF394" i="1"/>
  <c r="G393" i="1"/>
  <c r="AP393" i="1"/>
  <c r="AF393" i="1"/>
  <c r="O393" i="1"/>
  <c r="AP392" i="1"/>
  <c r="AF392" i="1"/>
  <c r="O392" i="1"/>
  <c r="AP391" i="1"/>
  <c r="AF391" i="1"/>
  <c r="O391" i="1"/>
  <c r="AP390" i="1"/>
  <c r="AF390" i="1"/>
  <c r="O390" i="1"/>
  <c r="AP389" i="1"/>
  <c r="AF389" i="1"/>
  <c r="O389" i="1"/>
  <c r="AP388" i="1"/>
  <c r="AF388" i="1"/>
  <c r="O388" i="1"/>
  <c r="G386" i="1"/>
  <c r="AP387" i="1"/>
  <c r="AF387" i="1"/>
  <c r="O387" i="1"/>
  <c r="AP386" i="1"/>
  <c r="AF386" i="1"/>
  <c r="O386" i="1"/>
  <c r="AP385" i="1"/>
  <c r="AF385" i="1"/>
  <c r="O385" i="1"/>
  <c r="AP384" i="1"/>
  <c r="AF384" i="1"/>
  <c r="O384" i="1"/>
  <c r="G383" i="1"/>
  <c r="AP383" i="1"/>
  <c r="AF383" i="1"/>
  <c r="O383" i="1"/>
  <c r="AP382" i="1"/>
  <c r="AF382" i="1"/>
  <c r="O382" i="1"/>
  <c r="AP381" i="1"/>
  <c r="AF381" i="1"/>
  <c r="AP379" i="1"/>
  <c r="AP380" i="1"/>
  <c r="AF379" i="1"/>
  <c r="AF380" i="1"/>
  <c r="O380" i="1"/>
  <c r="J8" i="1"/>
  <c r="AP378" i="1"/>
  <c r="AF378" i="1"/>
  <c r="O378" i="1"/>
  <c r="AP377" i="1"/>
  <c r="AF377" i="1"/>
  <c r="O377" i="1"/>
  <c r="AP375" i="1"/>
  <c r="AP376" i="1"/>
  <c r="AF375" i="1"/>
  <c r="AF376" i="1"/>
  <c r="O375" i="1"/>
  <c r="O376" i="1"/>
  <c r="AP374" i="1"/>
  <c r="AF374" i="1"/>
  <c r="O374" i="1"/>
  <c r="AP373" i="1"/>
  <c r="AF373" i="1"/>
  <c r="O373" i="1"/>
  <c r="AP372" i="1"/>
  <c r="AF372" i="1"/>
  <c r="O372" i="1"/>
  <c r="AP369" i="1"/>
  <c r="AF369" i="1"/>
  <c r="O369" i="1"/>
  <c r="AP371" i="1"/>
  <c r="AF371" i="1"/>
  <c r="O371" i="1"/>
  <c r="AP370" i="1"/>
  <c r="AF370" i="1"/>
  <c r="O370" i="1"/>
  <c r="O367" i="1"/>
  <c r="O368" i="1"/>
  <c r="AF368" i="1"/>
  <c r="AP368" i="1"/>
  <c r="AF367" i="1"/>
  <c r="AP367" i="1"/>
  <c r="O366" i="1"/>
  <c r="AF366" i="1"/>
  <c r="AP366" i="1"/>
  <c r="AF365" i="1"/>
  <c r="AP365" i="1"/>
  <c r="O364" i="1"/>
  <c r="AF364" i="1"/>
  <c r="AP364" i="1"/>
  <c r="O363" i="1"/>
  <c r="AF363" i="1"/>
  <c r="AP363" i="1"/>
  <c r="O361" i="1"/>
  <c r="O362" i="1"/>
  <c r="AF362" i="1"/>
  <c r="AP362" i="1"/>
  <c r="AF361" i="1"/>
  <c r="AP361" i="1"/>
  <c r="O360" i="1"/>
  <c r="AF360" i="1"/>
  <c r="AP360" i="1"/>
  <c r="AP359" i="1"/>
  <c r="AF359" i="1"/>
  <c r="O358" i="1"/>
  <c r="AF358" i="1"/>
  <c r="AP358" i="1"/>
  <c r="O357" i="1"/>
  <c r="AF357" i="1"/>
  <c r="AP357" i="1"/>
  <c r="O356" i="1"/>
  <c r="AF356" i="1"/>
  <c r="AP356" i="1"/>
  <c r="O355" i="1"/>
  <c r="AF355" i="1"/>
  <c r="AP355" i="1"/>
  <c r="O354" i="1"/>
  <c r="AF354" i="1"/>
  <c r="AP354" i="1"/>
  <c r="O353" i="1"/>
  <c r="AF353" i="1"/>
  <c r="AP353" i="1"/>
  <c r="O352" i="1"/>
  <c r="AF352" i="1"/>
  <c r="AP352" i="1"/>
  <c r="O351" i="1"/>
  <c r="AF351" i="1"/>
  <c r="AP351" i="1"/>
  <c r="O350" i="1"/>
  <c r="AF350" i="1"/>
  <c r="AP350" i="1"/>
  <c r="O349" i="1"/>
  <c r="AF349" i="1"/>
  <c r="AP349" i="1"/>
  <c r="O348" i="1"/>
  <c r="AF348" i="1"/>
  <c r="AP348" i="1"/>
  <c r="O347" i="1"/>
  <c r="I347" i="1"/>
  <c r="H347" i="1"/>
  <c r="AF347" i="1"/>
  <c r="AP347" i="1"/>
  <c r="AP346" i="1"/>
  <c r="AF346" i="1"/>
  <c r="O346" i="1"/>
  <c r="O345" i="1"/>
  <c r="I345" i="1"/>
  <c r="H345" i="1"/>
  <c r="AF345" i="1"/>
  <c r="AP345" i="1"/>
  <c r="O344" i="1"/>
  <c r="AF344" i="1"/>
  <c r="AP344" i="1"/>
  <c r="O343" i="1"/>
  <c r="I343" i="1"/>
  <c r="H343" i="1"/>
  <c r="AF343" i="1"/>
  <c r="AP343" i="1"/>
  <c r="O342" i="1"/>
  <c r="AF342" i="1"/>
  <c r="AP342" i="1"/>
  <c r="O341" i="1"/>
  <c r="I341" i="1"/>
  <c r="H341" i="1"/>
  <c r="AF341" i="1"/>
  <c r="AP341" i="1"/>
  <c r="O340" i="1"/>
  <c r="AF340" i="1"/>
  <c r="AP340" i="1"/>
  <c r="O339" i="1"/>
  <c r="I339" i="1"/>
  <c r="H339" i="1"/>
  <c r="AF339" i="1"/>
  <c r="AP339" i="1"/>
  <c r="O338" i="1"/>
  <c r="I338" i="1"/>
  <c r="H338" i="1"/>
  <c r="AF338" i="1"/>
  <c r="AP338" i="1"/>
  <c r="AP337" i="1"/>
  <c r="AF337" i="1"/>
  <c r="O337" i="1"/>
  <c r="I337" i="1"/>
  <c r="H337" i="1"/>
  <c r="AP336" i="1"/>
  <c r="AF336" i="1"/>
  <c r="O336" i="1"/>
  <c r="O335" i="1"/>
  <c r="I335" i="1"/>
  <c r="H335" i="1"/>
  <c r="AF335" i="1"/>
  <c r="AP335" i="1"/>
  <c r="O334" i="1"/>
  <c r="I334" i="1"/>
  <c r="H334" i="1"/>
  <c r="AF334" i="1"/>
  <c r="AP334" i="1"/>
  <c r="O333" i="1"/>
  <c r="AF333" i="1"/>
  <c r="AP333" i="1"/>
  <c r="O332" i="1"/>
  <c r="AF332" i="1"/>
  <c r="AP332" i="1"/>
  <c r="O331" i="1"/>
  <c r="AF331" i="1"/>
  <c r="AP331" i="1"/>
  <c r="O330" i="1"/>
  <c r="AF330" i="1"/>
  <c r="AP330" i="1"/>
  <c r="O328" i="1"/>
  <c r="AF328" i="1"/>
  <c r="AP328" i="1"/>
  <c r="O329" i="1"/>
  <c r="AF329" i="1"/>
  <c r="AP329" i="1"/>
  <c r="O327" i="1"/>
  <c r="AF327" i="1"/>
  <c r="AP327" i="1"/>
  <c r="O326" i="1"/>
  <c r="AF326" i="1"/>
  <c r="AP326" i="1"/>
  <c r="O325" i="1"/>
  <c r="AF325" i="1"/>
  <c r="AP325" i="1"/>
  <c r="O324" i="1"/>
  <c r="AF324" i="1"/>
  <c r="AP324" i="1"/>
  <c r="O323" i="1"/>
  <c r="AF323" i="1"/>
  <c r="AP323" i="1"/>
  <c r="O322" i="1"/>
  <c r="AF322" i="1"/>
  <c r="AP322" i="1"/>
  <c r="O321" i="1"/>
  <c r="AF321" i="1"/>
  <c r="AP321" i="1"/>
  <c r="O320" i="1"/>
  <c r="AF320" i="1"/>
  <c r="AP320" i="1"/>
  <c r="O319" i="1"/>
  <c r="AF319" i="1"/>
  <c r="AP319" i="1"/>
  <c r="O318" i="1"/>
  <c r="AF318" i="1"/>
  <c r="AP318" i="1"/>
  <c r="O317" i="1"/>
  <c r="AF317" i="1"/>
  <c r="AP317" i="1"/>
  <c r="O316" i="1"/>
  <c r="AF316" i="1"/>
  <c r="AP316" i="1"/>
  <c r="C17" i="2"/>
  <c r="J27" i="2"/>
  <c r="E17" i="2"/>
  <c r="O315" i="1"/>
  <c r="AF315" i="1"/>
  <c r="AP315" i="1"/>
  <c r="O314" i="1"/>
  <c r="AF314" i="1"/>
  <c r="AP314" i="1"/>
  <c r="O313" i="1"/>
  <c r="AF313" i="1"/>
  <c r="AP313" i="1"/>
  <c r="O312" i="1"/>
  <c r="AF312" i="1"/>
  <c r="AP312" i="1"/>
  <c r="O311" i="1"/>
  <c r="AF311" i="1"/>
  <c r="AP311" i="1"/>
  <c r="O310" i="1"/>
  <c r="AF310" i="1"/>
  <c r="AP310" i="1"/>
  <c r="O309" i="1"/>
  <c r="AF309" i="1"/>
  <c r="AP309" i="1"/>
  <c r="O308" i="1"/>
  <c r="AF308" i="1"/>
  <c r="AP308" i="1"/>
  <c r="O307" i="1"/>
  <c r="I307" i="1"/>
  <c r="H307" i="1"/>
  <c r="AF307" i="1"/>
  <c r="AP307" i="1"/>
  <c r="O306" i="1"/>
  <c r="I306" i="1"/>
  <c r="H306" i="1"/>
  <c r="AF306" i="1"/>
  <c r="AP306" i="1"/>
  <c r="O305" i="1"/>
  <c r="I305" i="1"/>
  <c r="H305" i="1"/>
  <c r="AF305" i="1"/>
  <c r="AP305" i="1"/>
  <c r="O304" i="1"/>
  <c r="I304" i="1"/>
  <c r="H304" i="1"/>
  <c r="AF304" i="1"/>
  <c r="AP304" i="1"/>
  <c r="O303" i="1"/>
  <c r="I303" i="1"/>
  <c r="H303" i="1"/>
  <c r="AF303" i="1"/>
  <c r="AP303" i="1"/>
  <c r="O302" i="1"/>
  <c r="I302" i="1"/>
  <c r="H302" i="1"/>
  <c r="AF302" i="1"/>
  <c r="AP302" i="1"/>
  <c r="AP301" i="1"/>
  <c r="AF301" i="1"/>
  <c r="O301" i="1"/>
  <c r="I301" i="1"/>
  <c r="H301" i="1"/>
  <c r="AP300" i="1"/>
  <c r="AF300" i="1"/>
  <c r="O300" i="1"/>
  <c r="O299" i="1"/>
  <c r="I299" i="1"/>
  <c r="H299" i="1"/>
  <c r="AF299" i="1"/>
  <c r="AP299" i="1"/>
  <c r="O298" i="1"/>
  <c r="I298" i="1"/>
  <c r="H298" i="1"/>
  <c r="AF298" i="1"/>
  <c r="AP298" i="1"/>
  <c r="O297" i="1"/>
  <c r="I297" i="1"/>
  <c r="H297" i="1"/>
  <c r="AF297" i="1"/>
  <c r="AP297" i="1"/>
  <c r="O296" i="1"/>
  <c r="I296" i="1"/>
  <c r="H296" i="1"/>
  <c r="AF296" i="1"/>
  <c r="AP296" i="1"/>
  <c r="O295" i="1"/>
  <c r="I295" i="1"/>
  <c r="H295" i="1"/>
  <c r="AF295" i="1"/>
  <c r="AP295" i="1"/>
  <c r="O294" i="1"/>
  <c r="I294" i="1"/>
  <c r="H294" i="1"/>
  <c r="AF294" i="1"/>
  <c r="AP294" i="1"/>
  <c r="O293" i="1"/>
  <c r="AF293" i="1"/>
  <c r="AP293" i="1"/>
  <c r="O292" i="1"/>
  <c r="I292" i="1"/>
  <c r="H292" i="1"/>
  <c r="AF292" i="1"/>
  <c r="AP292" i="1"/>
  <c r="E16" i="2"/>
  <c r="AP291" i="1"/>
  <c r="AF291" i="1"/>
  <c r="O291" i="1"/>
  <c r="O290" i="1"/>
  <c r="I290" i="1"/>
  <c r="H290" i="1"/>
  <c r="AF290" i="1"/>
  <c r="AP290" i="1"/>
  <c r="O289" i="1"/>
  <c r="AF289" i="1"/>
  <c r="AP289" i="1"/>
  <c r="O288" i="1"/>
  <c r="I288" i="1"/>
  <c r="H288" i="1"/>
  <c r="AF288" i="1"/>
  <c r="AP288" i="1"/>
  <c r="O287" i="1"/>
  <c r="AF287" i="1"/>
  <c r="AP287" i="1"/>
  <c r="O286" i="1"/>
  <c r="AF286" i="1"/>
  <c r="AP286" i="1"/>
  <c r="O285" i="1"/>
  <c r="AF285" i="1"/>
  <c r="AP285" i="1"/>
  <c r="O284" i="1"/>
  <c r="AF284" i="1"/>
  <c r="AP284" i="1"/>
  <c r="E15" i="2"/>
  <c r="E14" i="2"/>
  <c r="O283" i="1"/>
  <c r="AF283" i="1"/>
  <c r="AP283" i="1"/>
  <c r="O282" i="1"/>
  <c r="AF282" i="1"/>
  <c r="AP282" i="1"/>
  <c r="O281" i="1"/>
  <c r="AF281" i="1"/>
  <c r="AP281" i="1"/>
  <c r="O280" i="1"/>
  <c r="AF280" i="1"/>
  <c r="AP280" i="1"/>
  <c r="AP279" i="1"/>
  <c r="AF279" i="1"/>
  <c r="O279" i="1"/>
  <c r="AP278" i="1"/>
  <c r="AF278" i="1"/>
  <c r="O278" i="1"/>
  <c r="O277" i="1"/>
  <c r="AF277" i="1"/>
  <c r="AP277" i="1"/>
  <c r="O276" i="1"/>
  <c r="AF276" i="1"/>
  <c r="AP276" i="1"/>
  <c r="AF275" i="1"/>
  <c r="AP275" i="1"/>
  <c r="AP274" i="1"/>
  <c r="AF274" i="1"/>
  <c r="O274" i="1"/>
  <c r="I274" i="1"/>
  <c r="O273" i="1"/>
  <c r="I273" i="1"/>
  <c r="AF273" i="1"/>
  <c r="AP273" i="1"/>
  <c r="G13" i="1"/>
  <c r="O272" i="1"/>
  <c r="I272" i="1"/>
  <c r="AF272" i="1"/>
  <c r="AP272" i="1"/>
  <c r="O271" i="1"/>
  <c r="I271" i="1"/>
  <c r="AF271" i="1"/>
  <c r="AP271" i="1"/>
  <c r="O270" i="1"/>
  <c r="I270" i="1"/>
  <c r="AF270" i="1"/>
  <c r="AP270" i="1"/>
  <c r="O269" i="1"/>
  <c r="I269" i="1"/>
  <c r="AF269" i="1"/>
  <c r="AP269" i="1"/>
  <c r="O268" i="1"/>
  <c r="I268" i="1"/>
  <c r="AF268" i="1"/>
  <c r="AP268" i="1"/>
  <c r="O267" i="1"/>
  <c r="I267" i="1"/>
  <c r="AF267" i="1"/>
  <c r="AP267" i="1"/>
  <c r="O266" i="1"/>
  <c r="I266" i="1"/>
  <c r="AF266" i="1"/>
  <c r="AP266" i="1"/>
  <c r="O265" i="1"/>
  <c r="I265" i="1"/>
  <c r="AF265" i="1"/>
  <c r="AP265" i="1"/>
  <c r="O264" i="1"/>
  <c r="I264" i="1"/>
  <c r="AF264" i="1"/>
  <c r="AP264" i="1"/>
  <c r="O263" i="1"/>
  <c r="I263" i="1"/>
  <c r="AF263" i="1"/>
  <c r="AP263" i="1"/>
  <c r="O262" i="1"/>
  <c r="AF262" i="1"/>
  <c r="AP262" i="1"/>
  <c r="O261" i="1"/>
  <c r="AF261" i="1"/>
  <c r="AP261" i="1"/>
  <c r="O260" i="1"/>
  <c r="I260" i="1"/>
  <c r="AF260" i="1"/>
  <c r="AP260" i="1"/>
  <c r="O259" i="1"/>
  <c r="I259" i="1"/>
  <c r="AF259" i="1"/>
  <c r="AP259" i="1"/>
  <c r="AP258" i="1"/>
  <c r="AF258" i="1"/>
  <c r="O258" i="1"/>
  <c r="H8" i="1"/>
  <c r="O257" i="1"/>
  <c r="I257" i="1"/>
  <c r="AF257" i="1"/>
  <c r="AP257" i="1"/>
  <c r="O256" i="1"/>
  <c r="AF256" i="1"/>
  <c r="AP256" i="1"/>
  <c r="O255" i="1"/>
  <c r="I255" i="1"/>
  <c r="AF255" i="1"/>
  <c r="AP255" i="1"/>
  <c r="O254" i="1"/>
  <c r="AF254" i="1"/>
  <c r="AP254" i="1"/>
  <c r="O253" i="1"/>
  <c r="AF253" i="1"/>
  <c r="AP253" i="1"/>
  <c r="O252" i="1"/>
  <c r="AF252" i="1"/>
  <c r="AP252" i="1"/>
  <c r="J7" i="1"/>
  <c r="G6" i="1"/>
  <c r="O251" i="1"/>
  <c r="I251" i="1"/>
  <c r="AF251" i="1"/>
  <c r="AP251" i="1"/>
  <c r="O250" i="1"/>
  <c r="AF250" i="1"/>
  <c r="AP250" i="1"/>
  <c r="O249" i="1"/>
  <c r="AF249" i="1"/>
  <c r="AP249" i="1"/>
  <c r="O246" i="1"/>
  <c r="AF246" i="1"/>
  <c r="AP246" i="1"/>
  <c r="AP248" i="1"/>
  <c r="AF248" i="1"/>
  <c r="O248" i="1"/>
  <c r="I248" i="1"/>
  <c r="AP247" i="1"/>
  <c r="AF247" i="1"/>
  <c r="O247" i="1"/>
  <c r="I247" i="1"/>
  <c r="O245" i="1"/>
  <c r="AF245" i="1"/>
  <c r="AP245" i="1"/>
  <c r="O244" i="1"/>
  <c r="I244" i="1"/>
  <c r="AF244" i="1"/>
  <c r="AP244" i="1"/>
  <c r="O243" i="1"/>
  <c r="AF243" i="1"/>
  <c r="AP243" i="1"/>
  <c r="O242" i="1"/>
  <c r="AF242" i="1"/>
  <c r="AP242" i="1"/>
  <c r="O241" i="1"/>
  <c r="AF241" i="1"/>
  <c r="AP241" i="1"/>
  <c r="O240" i="1"/>
  <c r="AF240" i="1"/>
  <c r="AP240" i="1"/>
  <c r="AF239" i="1"/>
  <c r="AP239" i="1"/>
  <c r="AF238" i="1"/>
  <c r="AP238" i="1"/>
  <c r="O237" i="1"/>
  <c r="AF237" i="1"/>
  <c r="AP237" i="1"/>
  <c r="O236" i="1"/>
  <c r="AF236" i="1"/>
  <c r="AP236" i="1"/>
  <c r="O235" i="1"/>
  <c r="AF235" i="1"/>
  <c r="AP235" i="1"/>
  <c r="O234" i="1"/>
  <c r="AF234" i="1"/>
  <c r="AP234" i="1"/>
  <c r="AP233" i="1"/>
  <c r="AF233" i="1"/>
  <c r="O233" i="1"/>
  <c r="AF232" i="1"/>
  <c r="AP232" i="1"/>
  <c r="AF231" i="1"/>
  <c r="AP231" i="1"/>
  <c r="AF230" i="1"/>
  <c r="AP230" i="1"/>
  <c r="AF229" i="1"/>
  <c r="AP229" i="1"/>
  <c r="AF223" i="1"/>
  <c r="AP223" i="1"/>
  <c r="AP228" i="1"/>
  <c r="AF228" i="1"/>
  <c r="O228" i="1"/>
  <c r="O227" i="1"/>
  <c r="AF227" i="1"/>
  <c r="AP227" i="1"/>
  <c r="AF226" i="1"/>
  <c r="AP226" i="1"/>
  <c r="AF225" i="1"/>
  <c r="AP225" i="1"/>
  <c r="AF224" i="1"/>
  <c r="AP224" i="1"/>
  <c r="AP222" i="1"/>
  <c r="AF222" i="1"/>
  <c r="O222" i="1"/>
  <c r="AF221" i="1"/>
  <c r="AP221" i="1"/>
  <c r="O220" i="1"/>
  <c r="AF220" i="1"/>
  <c r="AP220" i="1"/>
  <c r="AF219" i="1"/>
  <c r="AP219" i="1"/>
  <c r="AP218" i="1"/>
  <c r="AF218" i="1"/>
  <c r="O218" i="1"/>
  <c r="AF217" i="1"/>
  <c r="AP217" i="1"/>
  <c r="G197" i="1"/>
  <c r="AP197" i="1"/>
  <c r="AF216" i="1"/>
  <c r="AP216" i="1"/>
  <c r="AF215" i="1"/>
  <c r="AP215" i="1"/>
  <c r="O214" i="1"/>
  <c r="AF214" i="1"/>
  <c r="AP214" i="1"/>
  <c r="AF213" i="1"/>
  <c r="AP213" i="1"/>
  <c r="G12" i="1"/>
  <c r="AF212" i="1"/>
  <c r="AP212" i="1"/>
  <c r="AF211" i="1"/>
  <c r="AP211" i="1"/>
  <c r="O210" i="1"/>
  <c r="AF210" i="1"/>
  <c r="AP210" i="1"/>
  <c r="AP209" i="1"/>
  <c r="AF209" i="1"/>
  <c r="AF208" i="1"/>
  <c r="AP208" i="1"/>
  <c r="O207" i="1"/>
  <c r="AF207" i="1"/>
  <c r="AP207" i="1"/>
  <c r="AF206" i="1"/>
  <c r="AP206" i="1"/>
  <c r="O205" i="1"/>
  <c r="AF205" i="1"/>
  <c r="AP205" i="1"/>
  <c r="AF204" i="1"/>
  <c r="AP204" i="1"/>
  <c r="AF203" i="1"/>
  <c r="AP203" i="1"/>
  <c r="O202" i="1"/>
  <c r="AF202" i="1"/>
  <c r="AP202" i="1"/>
  <c r="AF201" i="1"/>
  <c r="AP201" i="1"/>
  <c r="O200" i="1"/>
  <c r="AF200" i="1"/>
  <c r="AP200" i="1"/>
  <c r="O199" i="1"/>
  <c r="AF199" i="1"/>
  <c r="AP199" i="1"/>
  <c r="AF198" i="1"/>
  <c r="AP198" i="1"/>
  <c r="O197" i="1"/>
  <c r="AF197" i="1"/>
  <c r="AF196" i="1"/>
  <c r="AP196" i="1"/>
  <c r="AF195" i="1"/>
  <c r="AP195" i="1"/>
  <c r="O194" i="1"/>
  <c r="AF194" i="1"/>
  <c r="AP194" i="1"/>
  <c r="AF193" i="1"/>
  <c r="AP193" i="1"/>
  <c r="O192" i="1"/>
  <c r="AF192" i="1"/>
  <c r="AP192" i="1"/>
  <c r="O191" i="1"/>
  <c r="AF191" i="1"/>
  <c r="AP191" i="1"/>
  <c r="O190" i="1"/>
  <c r="AF190" i="1"/>
  <c r="AP190" i="1"/>
  <c r="O189" i="1"/>
  <c r="AF189" i="1"/>
  <c r="AP189" i="1"/>
  <c r="O188" i="1"/>
  <c r="AF188" i="1"/>
  <c r="AP188" i="1"/>
  <c r="O187" i="1"/>
  <c r="AF187" i="1"/>
  <c r="AP187" i="1"/>
  <c r="O186" i="1"/>
  <c r="AF186" i="1"/>
  <c r="AP186" i="1"/>
  <c r="O185" i="1"/>
  <c r="AF185" i="1"/>
  <c r="AP185" i="1"/>
  <c r="AP184" i="1"/>
  <c r="AF184" i="1"/>
  <c r="O184" i="1"/>
  <c r="AP183" i="1"/>
  <c r="AF183" i="1"/>
  <c r="O183" i="1"/>
  <c r="AP182" i="1"/>
  <c r="AF182" i="1"/>
  <c r="O182" i="1"/>
  <c r="AP181" i="1"/>
  <c r="AF181" i="1"/>
  <c r="O181" i="1"/>
  <c r="AP180" i="1"/>
  <c r="AF180" i="1"/>
  <c r="O180" i="1"/>
  <c r="AP179" i="1"/>
  <c r="AF179" i="1"/>
  <c r="O179" i="1"/>
  <c r="AP178" i="1"/>
  <c r="AF178" i="1"/>
  <c r="O178" i="1"/>
  <c r="AP177" i="1"/>
  <c r="AF177" i="1"/>
  <c r="O177" i="1"/>
  <c r="AP176" i="1"/>
  <c r="AF176" i="1"/>
  <c r="O176" i="1"/>
  <c r="AP175" i="1"/>
  <c r="AF175" i="1"/>
  <c r="O175" i="1"/>
  <c r="AP174" i="1"/>
  <c r="AF174" i="1"/>
  <c r="O174" i="1"/>
  <c r="AP173" i="1"/>
  <c r="AF173" i="1"/>
  <c r="O173" i="1"/>
  <c r="AP172" i="1"/>
  <c r="AF172" i="1"/>
  <c r="O172" i="1"/>
  <c r="AP171" i="1"/>
  <c r="AF171" i="1"/>
  <c r="O171" i="1"/>
  <c r="AP170" i="1"/>
  <c r="AF170" i="1"/>
  <c r="O170" i="1"/>
  <c r="AP169" i="1"/>
  <c r="AF169" i="1"/>
  <c r="O169" i="1"/>
  <c r="AP168" i="1"/>
  <c r="AF168" i="1"/>
  <c r="O168" i="1"/>
  <c r="AP167" i="1"/>
  <c r="AF167" i="1"/>
  <c r="O167" i="1"/>
  <c r="AP166" i="1"/>
  <c r="AF166" i="1"/>
  <c r="O166" i="1"/>
  <c r="AP165" i="1"/>
  <c r="AF165" i="1"/>
  <c r="O165" i="1"/>
  <c r="AP164" i="1"/>
  <c r="AF164" i="1"/>
  <c r="O164" i="1"/>
  <c r="AP163" i="1"/>
  <c r="AF163" i="1"/>
  <c r="O163" i="1"/>
  <c r="AP162" i="1"/>
  <c r="AF162" i="1"/>
  <c r="O162" i="1"/>
  <c r="AP161" i="1"/>
  <c r="AF161" i="1"/>
  <c r="O161" i="1"/>
  <c r="AP160" i="1"/>
  <c r="AF160" i="1"/>
  <c r="O160" i="1"/>
  <c r="AP159" i="1"/>
  <c r="AF159" i="1"/>
  <c r="O159" i="1"/>
  <c r="AP158" i="1"/>
  <c r="AF158" i="1"/>
  <c r="O158" i="1"/>
  <c r="AP157" i="1"/>
  <c r="AF157" i="1"/>
  <c r="O157" i="1"/>
  <c r="AP156" i="1"/>
  <c r="AF156" i="1"/>
  <c r="O156" i="1"/>
  <c r="AP155" i="1"/>
  <c r="AF155" i="1"/>
  <c r="AP154" i="1"/>
  <c r="AF154" i="1"/>
  <c r="O154" i="1"/>
  <c r="AP153" i="1"/>
  <c r="AF153" i="1"/>
  <c r="AP152" i="1"/>
  <c r="AF152" i="1"/>
  <c r="AP151" i="1"/>
  <c r="AF151" i="1"/>
  <c r="AP150" i="1"/>
  <c r="AF150" i="1"/>
  <c r="AP149" i="1"/>
  <c r="AF149" i="1"/>
  <c r="O149" i="1"/>
  <c r="AP148" i="1"/>
  <c r="AF148" i="1"/>
  <c r="O148" i="1"/>
  <c r="AP147" i="1"/>
  <c r="AF147" i="1"/>
  <c r="O147" i="1"/>
  <c r="AP146" i="1"/>
  <c r="AF146" i="1"/>
  <c r="O146" i="1"/>
  <c r="AP145" i="1"/>
  <c r="AF145" i="1"/>
  <c r="O145" i="1"/>
  <c r="AP144" i="1"/>
  <c r="AF144" i="1"/>
  <c r="O144" i="1"/>
  <c r="I144" i="1"/>
  <c r="H144" i="1"/>
  <c r="AP143" i="1"/>
  <c r="AF143" i="1"/>
  <c r="O143" i="1"/>
  <c r="AP142" i="1"/>
  <c r="AF142" i="1"/>
  <c r="I142" i="1"/>
  <c r="AP141" i="1"/>
  <c r="AF141" i="1"/>
  <c r="AP140" i="1"/>
  <c r="AF140" i="1"/>
  <c r="O140" i="1"/>
  <c r="I140" i="1"/>
  <c r="H140" i="1"/>
  <c r="AP139" i="1"/>
  <c r="AF139" i="1"/>
  <c r="I139" i="1"/>
  <c r="H139" i="1"/>
  <c r="AP138" i="1"/>
  <c r="AF138" i="1"/>
  <c r="O138" i="1"/>
  <c r="AP137" i="1"/>
  <c r="AF137" i="1"/>
  <c r="I137" i="1"/>
  <c r="H137" i="1"/>
  <c r="AP136" i="1"/>
  <c r="AF136" i="1"/>
  <c r="O136" i="1"/>
  <c r="I136" i="1"/>
  <c r="H136" i="1"/>
  <c r="AP135" i="1"/>
  <c r="AF135" i="1"/>
  <c r="O135" i="1"/>
  <c r="I135" i="1"/>
  <c r="H135" i="1"/>
  <c r="AP134" i="1"/>
  <c r="AF134" i="1"/>
  <c r="O134" i="1"/>
  <c r="I134" i="1"/>
  <c r="H134" i="1"/>
  <c r="AP133" i="1"/>
  <c r="AF133" i="1"/>
  <c r="O133" i="1"/>
  <c r="I133" i="1"/>
  <c r="H133" i="1"/>
  <c r="AP132" i="1"/>
  <c r="AF132" i="1"/>
  <c r="O132" i="1"/>
  <c r="I132" i="1"/>
  <c r="H132" i="1"/>
  <c r="AP131" i="1"/>
  <c r="AF131" i="1"/>
  <c r="O131" i="1"/>
  <c r="I131" i="1"/>
  <c r="H131" i="1"/>
  <c r="AP130" i="1"/>
  <c r="AF130" i="1"/>
  <c r="O130" i="1"/>
  <c r="I130" i="1"/>
  <c r="H130" i="1"/>
  <c r="AP129" i="1"/>
  <c r="AF129" i="1"/>
  <c r="O129" i="1"/>
  <c r="I129" i="1"/>
  <c r="H129" i="1"/>
  <c r="AP128" i="1"/>
  <c r="AF128" i="1"/>
  <c r="O128" i="1"/>
  <c r="I128" i="1"/>
  <c r="H128" i="1"/>
  <c r="AP127" i="1"/>
  <c r="AF127" i="1"/>
  <c r="O127" i="1"/>
  <c r="I127" i="1"/>
  <c r="H127" i="1"/>
  <c r="AP126" i="1"/>
  <c r="AF126" i="1"/>
  <c r="O126" i="1"/>
  <c r="I126" i="1"/>
  <c r="H126" i="1"/>
  <c r="AP125" i="1"/>
  <c r="AF125" i="1"/>
  <c r="O125" i="1"/>
  <c r="I125" i="1"/>
  <c r="H125" i="1"/>
  <c r="AP124" i="1"/>
  <c r="AF124" i="1"/>
  <c r="O124" i="1"/>
  <c r="I124" i="1"/>
  <c r="H124" i="1"/>
  <c r="AP123" i="1"/>
  <c r="AF123" i="1"/>
  <c r="O123" i="1"/>
  <c r="I123" i="1"/>
  <c r="H123" i="1"/>
  <c r="AP122" i="1"/>
  <c r="AF122" i="1"/>
  <c r="O122" i="1"/>
  <c r="I122" i="1"/>
  <c r="H122" i="1"/>
  <c r="AP121" i="1"/>
  <c r="AF121" i="1"/>
  <c r="O121" i="1"/>
  <c r="I121" i="1"/>
  <c r="H121" i="1"/>
  <c r="AP120" i="1"/>
  <c r="AF120" i="1"/>
  <c r="O120" i="1"/>
  <c r="I120" i="1"/>
  <c r="H120" i="1"/>
  <c r="AP119" i="1"/>
  <c r="AF119" i="1"/>
  <c r="O119" i="1"/>
  <c r="AP118" i="1"/>
  <c r="AF118" i="1"/>
  <c r="O118" i="1"/>
  <c r="AP117" i="1"/>
  <c r="AF117" i="1"/>
  <c r="AP116" i="1"/>
  <c r="AF116" i="1"/>
  <c r="O116" i="1"/>
  <c r="I116" i="1"/>
  <c r="H116" i="1"/>
  <c r="AP115" i="1"/>
  <c r="AF115" i="1"/>
  <c r="O115" i="1"/>
  <c r="I115" i="1"/>
  <c r="H115" i="1"/>
  <c r="AP114" i="1"/>
  <c r="AF114" i="1"/>
  <c r="O114" i="1"/>
  <c r="AP113" i="1"/>
  <c r="AF113" i="1"/>
  <c r="O113" i="1"/>
  <c r="I113" i="1"/>
  <c r="H113" i="1"/>
  <c r="AP112" i="1"/>
  <c r="AF112" i="1"/>
  <c r="O112" i="1"/>
  <c r="AP111" i="1"/>
  <c r="AF111" i="1"/>
  <c r="O111" i="1"/>
  <c r="AP110" i="1"/>
  <c r="AF110" i="1"/>
  <c r="O110" i="1"/>
  <c r="AP109" i="1"/>
  <c r="AF109" i="1"/>
  <c r="O109" i="1"/>
  <c r="AP108" i="1"/>
  <c r="AF108" i="1"/>
  <c r="O108" i="1"/>
  <c r="AP107" i="1"/>
  <c r="AF107" i="1"/>
  <c r="O107" i="1"/>
  <c r="AP106" i="1"/>
  <c r="AF106" i="1"/>
  <c r="O106" i="1"/>
  <c r="AP105" i="1"/>
  <c r="AF105" i="1"/>
  <c r="AP104" i="1"/>
  <c r="AF104" i="1"/>
  <c r="O104" i="1"/>
  <c r="AP103" i="1"/>
  <c r="AF103" i="1"/>
  <c r="O103" i="1"/>
  <c r="AP102" i="1"/>
  <c r="AF102" i="1"/>
  <c r="AP101" i="1"/>
  <c r="AF101" i="1"/>
  <c r="O101" i="1"/>
  <c r="AP100" i="1"/>
  <c r="AF100" i="1"/>
  <c r="O100" i="1"/>
  <c r="AP99" i="1"/>
  <c r="AF99" i="1"/>
  <c r="O99" i="1"/>
  <c r="AP98" i="1"/>
  <c r="AF98" i="1"/>
  <c r="O98" i="1"/>
  <c r="AP97" i="1"/>
  <c r="AF97" i="1"/>
  <c r="O97" i="1"/>
  <c r="AP96" i="1"/>
  <c r="AF96" i="1"/>
  <c r="O96" i="1"/>
  <c r="AP95" i="1"/>
  <c r="AF95" i="1"/>
  <c r="O95" i="1"/>
  <c r="AP94" i="1"/>
  <c r="AF94" i="1"/>
  <c r="O94" i="1"/>
  <c r="AP93" i="1"/>
  <c r="AF93" i="1"/>
  <c r="O93" i="1"/>
  <c r="AP92" i="1"/>
  <c r="AF92" i="1"/>
  <c r="O92" i="1"/>
  <c r="AP91" i="1"/>
  <c r="AF91" i="1"/>
  <c r="O91" i="1"/>
  <c r="AP90" i="1"/>
  <c r="AF90" i="1"/>
  <c r="O90" i="1"/>
  <c r="AP89" i="1"/>
  <c r="AF89" i="1"/>
  <c r="O89" i="1"/>
  <c r="AP88" i="1"/>
  <c r="AF88" i="1"/>
  <c r="O88" i="1"/>
  <c r="AP87" i="1"/>
  <c r="AF87" i="1"/>
  <c r="O87" i="1"/>
  <c r="I87" i="1"/>
  <c r="H87" i="1"/>
  <c r="AP86" i="1"/>
  <c r="AF86" i="1"/>
  <c r="O86" i="1"/>
  <c r="AP85" i="1"/>
  <c r="AF85" i="1"/>
  <c r="O85" i="1"/>
  <c r="I85" i="1"/>
  <c r="H85" i="1"/>
  <c r="AP84" i="1"/>
  <c r="AF84" i="1"/>
  <c r="O84" i="1"/>
  <c r="I84" i="1"/>
  <c r="H84" i="1"/>
  <c r="AP83" i="1"/>
  <c r="AF83" i="1"/>
  <c r="O83" i="1"/>
  <c r="I83" i="1"/>
  <c r="H83" i="1"/>
  <c r="AP82" i="1"/>
  <c r="AF82" i="1"/>
  <c r="O82" i="1"/>
  <c r="I82" i="1"/>
  <c r="H82" i="1"/>
  <c r="AP81" i="1"/>
  <c r="AF81" i="1"/>
  <c r="O81" i="1"/>
  <c r="AP80" i="1"/>
  <c r="AF80" i="1"/>
  <c r="O80" i="1"/>
  <c r="AP79" i="1"/>
  <c r="AF79" i="1"/>
  <c r="O79" i="1"/>
  <c r="AP78" i="1"/>
  <c r="AF78" i="1"/>
  <c r="O78" i="1"/>
  <c r="AP77" i="1"/>
  <c r="AF77" i="1"/>
  <c r="O77" i="1"/>
  <c r="AP76" i="1"/>
  <c r="AF76" i="1"/>
  <c r="O76" i="1"/>
  <c r="AP75" i="1"/>
  <c r="AF75" i="1"/>
  <c r="O75" i="1"/>
  <c r="AP74" i="1"/>
  <c r="AF74" i="1"/>
  <c r="O74" i="1"/>
  <c r="AP73" i="1"/>
  <c r="AF73" i="1"/>
  <c r="O73" i="1"/>
  <c r="AP72" i="1"/>
  <c r="AF72" i="1"/>
  <c r="O72" i="1"/>
  <c r="AP71" i="1"/>
  <c r="AF71" i="1"/>
  <c r="O71" i="1"/>
  <c r="AP70" i="1"/>
  <c r="AF70" i="1"/>
  <c r="O70" i="1"/>
  <c r="AP69" i="1"/>
  <c r="AF69" i="1"/>
  <c r="O69" i="1"/>
  <c r="AP68" i="1"/>
  <c r="AF68" i="1"/>
  <c r="O68" i="1"/>
  <c r="AP67" i="1"/>
  <c r="AF67" i="1"/>
  <c r="O67" i="1"/>
  <c r="AF66" i="1"/>
  <c r="O66" i="1"/>
  <c r="G66" i="1"/>
  <c r="AP66" i="1"/>
  <c r="AP65" i="1"/>
  <c r="AF65" i="1"/>
  <c r="O65" i="1"/>
  <c r="AP64" i="1"/>
  <c r="AF64" i="1"/>
  <c r="AP63" i="1"/>
  <c r="AF63" i="1"/>
  <c r="AP62" i="1"/>
  <c r="AF62" i="1"/>
  <c r="O62" i="1"/>
  <c r="AP61" i="1"/>
  <c r="AF61" i="1"/>
  <c r="O61" i="1"/>
  <c r="AP60" i="1"/>
  <c r="AF60" i="1"/>
  <c r="O60" i="1"/>
  <c r="AP59" i="1"/>
  <c r="AF59" i="1"/>
  <c r="O59" i="1"/>
  <c r="AP58" i="1"/>
  <c r="AF58" i="1"/>
  <c r="O58" i="1"/>
  <c r="AP57" i="1"/>
  <c r="AF57" i="1"/>
  <c r="O57" i="1"/>
  <c r="AP56" i="1"/>
  <c r="AF56" i="1"/>
  <c r="O56" i="1"/>
  <c r="I56" i="1"/>
  <c r="H56" i="1"/>
  <c r="AP55" i="1"/>
  <c r="AF55" i="1"/>
  <c r="O55" i="1"/>
  <c r="AP54" i="1"/>
  <c r="AF54" i="1"/>
  <c r="O54" i="1"/>
  <c r="AP53" i="1"/>
  <c r="AF53" i="1"/>
  <c r="O53" i="1"/>
  <c r="AP52" i="1"/>
  <c r="AF52" i="1"/>
  <c r="O52" i="1"/>
  <c r="AP51" i="1"/>
  <c r="AF51" i="1"/>
  <c r="O51" i="1"/>
  <c r="AP50" i="1"/>
  <c r="AF50" i="1"/>
  <c r="O50" i="1"/>
  <c r="AP49" i="1"/>
  <c r="AF49" i="1"/>
  <c r="O49" i="1"/>
  <c r="AP48" i="1"/>
  <c r="AF48" i="1"/>
  <c r="O48" i="1"/>
  <c r="I48" i="1"/>
  <c r="H48" i="1"/>
  <c r="AP47" i="1"/>
  <c r="AF47" i="1"/>
  <c r="O47" i="1"/>
  <c r="AP46" i="1"/>
  <c r="AF46" i="1"/>
  <c r="O46" i="1"/>
  <c r="AP45" i="1"/>
  <c r="AF45" i="1"/>
  <c r="O45" i="1"/>
  <c r="AP44" i="1"/>
  <c r="AF44" i="1"/>
  <c r="O44" i="1"/>
  <c r="AP43" i="1"/>
  <c r="AF43" i="1"/>
  <c r="O43" i="1"/>
  <c r="I43" i="1"/>
  <c r="H43" i="1"/>
  <c r="AP42" i="1"/>
  <c r="AF42" i="1"/>
  <c r="O42" i="1"/>
  <c r="AP41" i="1"/>
  <c r="AF41" i="1"/>
  <c r="O41" i="1"/>
  <c r="AP40" i="1"/>
  <c r="AF40" i="1"/>
  <c r="O40" i="1"/>
  <c r="AP39" i="1"/>
  <c r="AF39" i="1"/>
  <c r="O39" i="1"/>
  <c r="AP38" i="1"/>
  <c r="AF38" i="1"/>
  <c r="O38" i="1"/>
  <c r="I38" i="1"/>
  <c r="H38" i="1"/>
  <c r="AP37" i="1"/>
  <c r="AF37" i="1"/>
  <c r="O37" i="1"/>
  <c r="I37" i="1"/>
  <c r="H37" i="1"/>
  <c r="AP36" i="1"/>
  <c r="AF36" i="1"/>
  <c r="O36" i="1"/>
  <c r="I36" i="1"/>
  <c r="H36" i="1"/>
  <c r="AP35" i="1"/>
  <c r="AF35" i="1"/>
  <c r="O35" i="1"/>
  <c r="I35" i="1"/>
  <c r="H35" i="1"/>
  <c r="AP34" i="1"/>
  <c r="AF34" i="1"/>
  <c r="O34" i="1"/>
  <c r="I34" i="1"/>
  <c r="H34" i="1"/>
  <c r="AP33" i="1"/>
  <c r="AF33" i="1"/>
  <c r="O33" i="1"/>
  <c r="I33" i="1"/>
  <c r="H33" i="1"/>
  <c r="AP32" i="1"/>
  <c r="AF32" i="1"/>
  <c r="O32" i="1"/>
  <c r="I32" i="1"/>
  <c r="H32" i="1"/>
  <c r="AP31" i="1"/>
  <c r="AF31" i="1"/>
  <c r="O31" i="1"/>
  <c r="I31" i="1"/>
  <c r="H31" i="1"/>
  <c r="AP30" i="1"/>
  <c r="AF30" i="1"/>
  <c r="O30" i="1"/>
  <c r="I30" i="1"/>
  <c r="H30" i="1"/>
  <c r="AP29" i="1"/>
  <c r="AF29" i="1"/>
  <c r="O29" i="1"/>
  <c r="I29" i="1"/>
  <c r="H29" i="1"/>
  <c r="AP28" i="1"/>
  <c r="AF28" i="1"/>
  <c r="O28" i="1"/>
  <c r="I28" i="1"/>
  <c r="H28" i="1"/>
  <c r="AP27" i="1"/>
  <c r="AF27" i="1"/>
  <c r="O27" i="1"/>
  <c r="I27" i="1"/>
  <c r="H27" i="1"/>
  <c r="AP26" i="1"/>
  <c r="AF26" i="1"/>
  <c r="O26" i="1"/>
  <c r="I26" i="1"/>
  <c r="H26" i="1"/>
  <c r="G23" i="1"/>
  <c r="G22" i="1"/>
  <c r="G21" i="1"/>
  <c r="G20" i="1"/>
  <c r="I20" i="1"/>
  <c r="G18" i="1"/>
  <c r="I18" i="1"/>
  <c r="G14" i="1"/>
  <c r="G10" i="1"/>
  <c r="G9" i="1"/>
  <c r="G7" i="1"/>
  <c r="H7" i="1"/>
  <c r="J5" i="1"/>
  <c r="E13" i="2"/>
  <c r="E12" i="2"/>
  <c r="E11" i="2"/>
  <c r="E10" i="2"/>
  <c r="E9" i="2"/>
  <c r="E8" i="2"/>
  <c r="E7" i="2"/>
  <c r="E6" i="2"/>
  <c r="E5" i="2"/>
  <c r="G15" i="1"/>
  <c r="G5" i="1"/>
  <c r="G4" i="1"/>
  <c r="J6" i="1"/>
  <c r="B10" i="8" l="1"/>
  <c r="B1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Junior Bonilla Concha</author>
  </authors>
  <commentList>
    <comment ref="C10" authorId="0" shapeId="0" xr:uid="{3A0D9953-F029-4A90-A503-6BC01B841566}">
      <text>
        <r>
          <rPr>
            <b/>
            <sz val="9"/>
            <color indexed="81"/>
            <rFont val="Tahoma"/>
            <family val="2"/>
          </rPr>
          <t>Junior Bonilla Concha:</t>
        </r>
        <r>
          <rPr>
            <sz val="9"/>
            <color indexed="81"/>
            <rFont val="Tahoma"/>
            <family val="2"/>
          </rPr>
          <t xml:space="preserve">
Se resto 298 por desfase, posibilidad de desfase en CI
</t>
        </r>
      </text>
    </comment>
  </commentList>
</comments>
</file>

<file path=xl/sharedStrings.xml><?xml version="1.0" encoding="utf-8"?>
<sst xmlns="http://schemas.openxmlformats.org/spreadsheetml/2006/main" count="1739" uniqueCount="396">
  <si>
    <t>INGRESO DE DETONADORES ELECTRONICOS - FAMETRONIC                                                          TÚNEL - CHANCAY</t>
  </si>
  <si>
    <t>INGRESO DE EXPLOSIVOS TÚNEL CHANCAY</t>
  </si>
  <si>
    <t>TIPOS DE EMULSIÓN</t>
  </si>
  <si>
    <t xml:space="preserve">FECHA </t>
  </si>
  <si>
    <t>AÑO</t>
  </si>
  <si>
    <t>CANTIDAD</t>
  </si>
  <si>
    <t>LONGITUD (m)</t>
  </si>
  <si>
    <t>CAJAS</t>
  </si>
  <si>
    <t>CABLE JUMPER             (mts)</t>
  </si>
  <si>
    <t>CONDON DETONANTE 5P  (mts)</t>
  </si>
  <si>
    <t>EMULSIÓN 500 1 ¼ 12” (KG)</t>
  </si>
  <si>
    <t>EMULSIÓN 1000 1 ¼ 12” (KG)</t>
  </si>
  <si>
    <t>EMULSIÓN 3000 1 ¼ 12” (KG)</t>
  </si>
  <si>
    <t>EMULSIÓN 1000 1 " 8” (KG)2</t>
  </si>
  <si>
    <t>EMULSIÓN 5000 1 ¼ 12”  (KG)</t>
  </si>
  <si>
    <t>OK</t>
  </si>
  <si>
    <t>STOCK 0</t>
  </si>
  <si>
    <t>Polvorin</t>
  </si>
  <si>
    <t>INGRESO DE DETONADORES ELECTRONICOS . FAMETRONIC 15m</t>
  </si>
  <si>
    <t>31/07/2024 - INSPECCIÓN</t>
  </si>
  <si>
    <t>N° VOLADURA</t>
  </si>
  <si>
    <t>RETIRO</t>
  </si>
  <si>
    <t>13/08/2024- INSPECCIÓN</t>
  </si>
  <si>
    <t>19 CI</t>
  </si>
  <si>
    <t>17/08/2024  INSPECCION</t>
  </si>
  <si>
    <t>INGRESO DE DETONADORES ELECTRONICOS . INTELLISHOT                                                           TÚNEL - CHANCAY</t>
  </si>
  <si>
    <t>C-79</t>
  </si>
  <si>
    <t>C-80</t>
  </si>
  <si>
    <t>C-81</t>
  </si>
  <si>
    <t>C-82</t>
  </si>
  <si>
    <t>C-83</t>
  </si>
  <si>
    <t>C-84</t>
  </si>
  <si>
    <t>C-85</t>
  </si>
  <si>
    <t>C-86</t>
  </si>
  <si>
    <t>C-87</t>
  </si>
  <si>
    <t>C-117</t>
  </si>
  <si>
    <t>C-118</t>
  </si>
  <si>
    <t>C-119</t>
  </si>
  <si>
    <t>C-120</t>
  </si>
  <si>
    <t>C-121</t>
  </si>
  <si>
    <t>208-64</t>
  </si>
  <si>
    <t>C-122</t>
  </si>
  <si>
    <t>C-123</t>
  </si>
  <si>
    <t>209-65</t>
  </si>
  <si>
    <t>210-66</t>
  </si>
  <si>
    <t>C-124</t>
  </si>
  <si>
    <t>211-67</t>
  </si>
  <si>
    <t>C-125</t>
  </si>
  <si>
    <t>212-68</t>
  </si>
  <si>
    <t>C-126</t>
  </si>
  <si>
    <t>C-127</t>
  </si>
  <si>
    <t>C-128</t>
  </si>
  <si>
    <t>213-69</t>
  </si>
  <si>
    <t>214-70</t>
  </si>
  <si>
    <t>217-73</t>
  </si>
  <si>
    <t>218-74</t>
  </si>
  <si>
    <t>219-75</t>
  </si>
  <si>
    <t>222-78</t>
  </si>
  <si>
    <t>223-79</t>
  </si>
  <si>
    <t>224-80</t>
  </si>
  <si>
    <t>225-81</t>
  </si>
  <si>
    <t>226-82</t>
  </si>
  <si>
    <t>227-83</t>
  </si>
  <si>
    <t>228-84</t>
  </si>
  <si>
    <t>Stock</t>
  </si>
  <si>
    <t>DETONADORES (FAMETRONIC 10M.)</t>
  </si>
  <si>
    <t>Pzas</t>
  </si>
  <si>
    <t>DETONADORES</t>
  </si>
  <si>
    <t>STOCK (UND)</t>
  </si>
  <si>
    <t>INTELLISHOT (15m)</t>
  </si>
  <si>
    <t>FAMETRONIC 15 m</t>
  </si>
  <si>
    <t>DIGISHOT (15m)</t>
  </si>
  <si>
    <t>FAMETRONIC 10 m</t>
  </si>
  <si>
    <t>CABLE JUMPER (2X20AWG) - Fametronic</t>
  </si>
  <si>
    <t>DIGISHOT</t>
  </si>
  <si>
    <t>CABLE JUMPER (2X22AWG) -  Intellishot</t>
  </si>
  <si>
    <t>INTELLISHOT</t>
  </si>
  <si>
    <t>CORDON DETONANTE 5P</t>
  </si>
  <si>
    <t>m</t>
  </si>
  <si>
    <t>EMULNOR 500  1 ¼ 12”</t>
  </si>
  <si>
    <t>Kg</t>
  </si>
  <si>
    <t>EMULNOR 1000  1 " x  8”</t>
  </si>
  <si>
    <t>EMULNOR 1000  1 ¼ 12”</t>
  </si>
  <si>
    <t>kg</t>
  </si>
  <si>
    <t>EMULNOR 3000  1 ¼ 12”</t>
  </si>
  <si>
    <t>EMULNOR 5000  1 ¼ 12”</t>
  </si>
  <si>
    <t>EXPLOSIVO CONSUMIDO</t>
  </si>
  <si>
    <t>Total Detonadores Consumidos (Fametronic Xpro)</t>
  </si>
  <si>
    <t>Total Detonadores Consumidos (Dighisot)</t>
  </si>
  <si>
    <t>Total Detonadores Consumidos (Intellishot)</t>
  </si>
  <si>
    <t>Total Emulnor 1000 1 1/4 12" Consumidos</t>
  </si>
  <si>
    <t>Total Emulnor 1000 1 8" Consumidos</t>
  </si>
  <si>
    <t>Total Emulnor 3000 1 1/4 12" Consumidos</t>
  </si>
  <si>
    <t>Total Pentacord Consumido</t>
  </si>
  <si>
    <t>mts</t>
  </si>
  <si>
    <t>Total Cable Jumper Consumidos (2X20 Awg) - Fametronic</t>
  </si>
  <si>
    <t>Total Cable Jumper Consumidos (2x22 Awg) - Intellishot</t>
  </si>
  <si>
    <t>Datos Generales</t>
  </si>
  <si>
    <t>Datos del Proyecto</t>
  </si>
  <si>
    <t>Taladros Detonados</t>
  </si>
  <si>
    <t>No Reply</t>
  </si>
  <si>
    <t>PUNTOS DE MONITOREO</t>
  </si>
  <si>
    <t>N°¨Vold.</t>
  </si>
  <si>
    <t>ZONA</t>
  </si>
  <si>
    <t>Mes</t>
  </si>
  <si>
    <t>Fecha de Disparo</t>
  </si>
  <si>
    <t>Frente</t>
  </si>
  <si>
    <t>#Voladura</t>
  </si>
  <si>
    <t>Detonadores Consumidos</t>
  </si>
  <si>
    <t>Detonador consumido (Fametronic)</t>
  </si>
  <si>
    <t xml:space="preserve">Detonador Consumido (Intellishot) </t>
  </si>
  <si>
    <t xml:space="preserve">Detonador Consumido (Digishot) </t>
  </si>
  <si>
    <t>Taladros Simples</t>
  </si>
  <si>
    <t>Taladros Dobles</t>
  </si>
  <si>
    <t>Taladros Triples</t>
  </si>
  <si>
    <t>N°TOTAL TALADROS CARGADOS</t>
  </si>
  <si>
    <t>EMULSIÓN 500                 1 ¼ 12” (PZA)</t>
  </si>
  <si>
    <t>EMULSIÓN 1000 1 ¼x 12” (PZA)</t>
  </si>
  <si>
    <t>EMULSIÓN 1000 1" x  8” (PZA)2</t>
  </si>
  <si>
    <t>EMULSIÓN 3000 1 ¼ 12” (PZA)</t>
  </si>
  <si>
    <t>EMULSIÓN 5000                 1 ¼ 12”  (PZA)</t>
  </si>
  <si>
    <t xml:space="preserve">Responsables </t>
  </si>
  <si>
    <t>Cordon Detonante 5P  (mts)</t>
  </si>
  <si>
    <t>Cable Jumper (m)2x20 - Fametronic</t>
  </si>
  <si>
    <t>Cable Jumper (m)2x22 - Intellishot</t>
  </si>
  <si>
    <t>Fuga</t>
  </si>
  <si>
    <t>Corte</t>
  </si>
  <si>
    <t>Otros</t>
  </si>
  <si>
    <t>Total No Reply</t>
  </si>
  <si>
    <t>Back Up</t>
  </si>
  <si>
    <t>TQ</t>
  </si>
  <si>
    <t>Current (mA)</t>
  </si>
  <si>
    <t>Volumen de Material (m3)</t>
  </si>
  <si>
    <t>PEM-V01 ES (mm/s)</t>
  </si>
  <si>
    <t>DISTANCE (m)</t>
  </si>
  <si>
    <t>PEM-V01 RE (mm/s)</t>
  </si>
  <si>
    <t>PEM-V04 ES (mm/s)</t>
  </si>
  <si>
    <t>DISTANCE (m)2</t>
  </si>
  <si>
    <t>PEM-V04 RE (mm/s)</t>
  </si>
  <si>
    <t>PEM-Cs</t>
  </si>
  <si>
    <t>DISTANCE (m)4</t>
  </si>
  <si>
    <t>PEM-Cs5</t>
  </si>
  <si>
    <t>#VOLADURA-ZONA</t>
  </si>
  <si>
    <t>OBSERVACIONES</t>
  </si>
  <si>
    <t>ZOP</t>
  </si>
  <si>
    <t>Marzo</t>
  </si>
  <si>
    <t>Galería 01</t>
  </si>
  <si>
    <t>Saul Galvan/Paul Lovaton/Junior Bonilla</t>
  </si>
  <si>
    <t>Sin Novedad</t>
  </si>
  <si>
    <t>GAL 01 y GAL 02</t>
  </si>
  <si>
    <t>Paul Lovaton/Junior Bonilla</t>
  </si>
  <si>
    <t>Abril</t>
  </si>
  <si>
    <t>Saul Galvan/     Paul Lovaton</t>
  </si>
  <si>
    <t>Saul Galvan / Angel Bereche</t>
  </si>
  <si>
    <t>Quedó 1 TQ por presión dinamica - corona lado izquierdo</t>
  </si>
  <si>
    <t>Saul Galvan / Angel Bereche / Necineida Quispe</t>
  </si>
  <si>
    <t>Paul Lovaton / Angel Bereche / Junior Bonilla</t>
  </si>
  <si>
    <t>Paul Lovaton / Necineida Quispe / Junior Bonilla</t>
  </si>
  <si>
    <t>Saul Galvan / Angel Bereche / Necineida Quispe / Junior Bonilla</t>
  </si>
  <si>
    <t>Saul Galvan / Angel Bereche / Necineida Quispe / Alvino Fabian</t>
  </si>
  <si>
    <t>Saul Galvan / Angel Bereche / Alvino Fabian</t>
  </si>
  <si>
    <t>1 TQ en la corona izquierda</t>
  </si>
  <si>
    <t>2 TQ en la ayuda del arrastre</t>
  </si>
  <si>
    <t>SECU.</t>
  </si>
  <si>
    <t>Voladura secundaria - Eliminación de TQ</t>
  </si>
  <si>
    <t>Voladura secundaria</t>
  </si>
  <si>
    <t>Saul Galvan / Angel Bereche / Junior Bonilla</t>
  </si>
  <si>
    <t>7 TQ (anillado por falta de carga)</t>
  </si>
  <si>
    <t>Alvino Fabian / Angel Bereche / Junior Bonilla</t>
  </si>
  <si>
    <t>Mayo</t>
  </si>
  <si>
    <t>Alvino Fabian / Angel Bereche ( Junior Bonilla</t>
  </si>
  <si>
    <t>Alvino Fabian / Angel Bereche / Junior Bonilla / Americo Panebra</t>
  </si>
  <si>
    <t>Alvino Fabian / Junior Bonilla / Americo Panebra</t>
  </si>
  <si>
    <t>Necineida Quispe / Junior Bonilla / Americo Panebra</t>
  </si>
  <si>
    <t>(Queda 01 TQ en un taladro cargado)</t>
  </si>
  <si>
    <t>Necineida Quispe / Junior Bonilla / Americo Panebra / Mariano Silva</t>
  </si>
  <si>
    <t xml:space="preserve">Necineida Quispe / Junior Bonilla / Americo Panebra </t>
  </si>
  <si>
    <t>Alvino Fabian / Junior Bonilla / Necineida Quispe</t>
  </si>
  <si>
    <t>Junior Bonilla / Americo Panebra / Gustavo</t>
  </si>
  <si>
    <t>Necineida Quispe / Americo Panebra / Gustavo</t>
  </si>
  <si>
    <t>Saul Galvan / Angel Bereche / Wilber Huamaní</t>
  </si>
  <si>
    <t>MAyo</t>
  </si>
  <si>
    <t>mayo</t>
  </si>
  <si>
    <t>Desquinche</t>
  </si>
  <si>
    <t>Túnel completo</t>
  </si>
  <si>
    <t>3 TQ</t>
  </si>
  <si>
    <t>Junior Bonilla /Américo Panebra / Angel Bereche</t>
  </si>
  <si>
    <t>1 TQ en la ayuda corona izquierda</t>
  </si>
  <si>
    <t>Junior Bonilla /Américo Panebra / Wilber Huamani</t>
  </si>
  <si>
    <t>Junior Bonilla / Necineida Quispe /Alvino Fabián</t>
  </si>
  <si>
    <t>Necineida Quispe /Américo Panebra / Necineida Quispe</t>
  </si>
  <si>
    <t>Junior Bonilla/ Américo Panebra/ Wilber Huamani</t>
  </si>
  <si>
    <t>1 TQ corona hizquierda</t>
  </si>
  <si>
    <t>Necineida Quispe/ Américo Panebra/ Wilber Huamani</t>
  </si>
  <si>
    <t>Necineida Quispe/ Américo Panebra/ Junior Bonilla</t>
  </si>
  <si>
    <t>Necineida Quispe /Wilber Huaman / Junior Bonilla</t>
  </si>
  <si>
    <t>Necineida Quispe/ Jubior Bonilla/Américo Panebra</t>
  </si>
  <si>
    <t>Junior Bonilla / Américo Panebra / Cesar Lozada</t>
  </si>
  <si>
    <t>Necineida Quispe / Américo Panebra</t>
  </si>
  <si>
    <t>CI</t>
  </si>
  <si>
    <t>Junior Bonilla / Américo Panebra /Cesar Lozada</t>
  </si>
  <si>
    <t>Junior Bonilla / Américo Panebra/ Gustavo Caballero</t>
  </si>
  <si>
    <t>Junior Bonilla / Alvino Fabia / Cesar Lozada</t>
  </si>
  <si>
    <t>Necineida Quispe / Américo Panebra / Gustavo Caballero</t>
  </si>
  <si>
    <t>Junior Bonilla /Americo Panebra/Gustavo caballero</t>
  </si>
  <si>
    <t>Junior Bonilla / Américo Panebra / Gustavo Caballero</t>
  </si>
  <si>
    <t>Necineida Quispe/Alvino Fabia /Cesar Lozada</t>
  </si>
  <si>
    <t>Túnel incompleto</t>
  </si>
  <si>
    <t>Necineida Quispe/Américo Panebra/Gustavo Caballero</t>
  </si>
  <si>
    <t>Junior Bonilla /Alvino Fabián / Cesar Lozada</t>
  </si>
  <si>
    <t>Junior Bonilla / Necineida Quispe/ Miguel Carrera</t>
  </si>
  <si>
    <t>Junio</t>
  </si>
  <si>
    <t>Saúl Galvan / Angel Bereche / Gustavo Caballero</t>
  </si>
  <si>
    <t>Galeria 01 - CI</t>
  </si>
  <si>
    <t>Junior Bonilla/Miguel Carrera/Americo Panebra</t>
  </si>
  <si>
    <t>Saul Galvan / Angel Bereche / Miguel Cabrera</t>
  </si>
  <si>
    <t>Wilber Huamani / Gustavo Caballero</t>
  </si>
  <si>
    <t>Quedó 3TQ</t>
  </si>
  <si>
    <t xml:space="preserve">Saul Galvan / Angel Bereche </t>
  </si>
  <si>
    <t>Miguel Carrera / Gustavo Caballero</t>
  </si>
  <si>
    <t xml:space="preserve">Galeria 01 y Galería 02- CI </t>
  </si>
  <si>
    <t>Túnel completo + banco</t>
  </si>
  <si>
    <t>676.5</t>
  </si>
  <si>
    <t xml:space="preserve"> </t>
  </si>
  <si>
    <t>534.5</t>
  </si>
  <si>
    <t>107.5</t>
  </si>
  <si>
    <t>459.5</t>
  </si>
  <si>
    <t>106.5</t>
  </si>
  <si>
    <t>500.5</t>
  </si>
  <si>
    <t>172.5</t>
  </si>
  <si>
    <t>135.5</t>
  </si>
  <si>
    <t>Julio</t>
  </si>
  <si>
    <t>275.5</t>
  </si>
  <si>
    <t>TSP</t>
  </si>
  <si>
    <t>154.5</t>
  </si>
  <si>
    <t>Túnel completo + TSP</t>
  </si>
  <si>
    <t>desquinche</t>
  </si>
  <si>
    <t>Tunel + banco</t>
  </si>
  <si>
    <t>julio</t>
  </si>
  <si>
    <t>1319.5</t>
  </si>
  <si>
    <t>1551.5</t>
  </si>
  <si>
    <t xml:space="preserve">Julio </t>
  </si>
  <si>
    <t>1626.5</t>
  </si>
  <si>
    <t>01 PTQ en la corona</t>
  </si>
  <si>
    <t>1 TQ en corona</t>
  </si>
  <si>
    <t>23-07-24</t>
  </si>
  <si>
    <t>24-07-24</t>
  </si>
  <si>
    <t xml:space="preserve">Túnel completo + desquinche  </t>
  </si>
  <si>
    <t>25-07-24</t>
  </si>
  <si>
    <t>26-07-24</t>
  </si>
  <si>
    <t>28-07-24</t>
  </si>
  <si>
    <t>29-07-24</t>
  </si>
  <si>
    <t>30-07-24</t>
  </si>
  <si>
    <t>JULIO</t>
  </si>
  <si>
    <t>31-07-24</t>
  </si>
  <si>
    <t>Agosto</t>
  </si>
  <si>
    <t xml:space="preserve">Agosto </t>
  </si>
  <si>
    <t>208 - 64 banco</t>
  </si>
  <si>
    <t>BANCO</t>
  </si>
  <si>
    <t>209 - 65 banco</t>
  </si>
  <si>
    <t>Banco</t>
  </si>
  <si>
    <t>210 - banco 66</t>
  </si>
  <si>
    <t>211-banco 67</t>
  </si>
  <si>
    <t>Banco + desquinche</t>
  </si>
  <si>
    <t>212 - banco 68</t>
  </si>
  <si>
    <t>213 - banco 69</t>
  </si>
  <si>
    <t xml:space="preserve">Banco </t>
  </si>
  <si>
    <t>214 - banco 70</t>
  </si>
  <si>
    <t>215 - banco 71</t>
  </si>
  <si>
    <t>216 - banco 72</t>
  </si>
  <si>
    <t>217 - banco 73</t>
  </si>
  <si>
    <t>218 - banco 74</t>
  </si>
  <si>
    <t>219 - banco 75</t>
  </si>
  <si>
    <t>220 - banco 76</t>
  </si>
  <si>
    <t>221 - banco 77</t>
  </si>
  <si>
    <t>222- banco 78</t>
  </si>
  <si>
    <t>agosto</t>
  </si>
  <si>
    <t>13-08-24</t>
  </si>
  <si>
    <t>banco</t>
  </si>
  <si>
    <t>223- banco 79</t>
  </si>
  <si>
    <t>224-banco 80</t>
  </si>
  <si>
    <t>225-banco 81</t>
  </si>
  <si>
    <t>15-08-24</t>
  </si>
  <si>
    <t>226-banco 82</t>
  </si>
  <si>
    <t>227-banco 83</t>
  </si>
  <si>
    <t>16-08-24</t>
  </si>
  <si>
    <t>17-08-24</t>
  </si>
  <si>
    <t>228-banco 84</t>
  </si>
  <si>
    <t>18-08-24</t>
  </si>
  <si>
    <t>MESES</t>
  </si>
  <si>
    <t>Total general</t>
  </si>
  <si>
    <t>Etiquetas de fila</t>
  </si>
  <si>
    <t>Suma de Taladros Simples</t>
  </si>
  <si>
    <t>Suma de Taladros Dobles</t>
  </si>
  <si>
    <t>Suma de Taladros Triples</t>
  </si>
  <si>
    <t>Suma de Fuga</t>
  </si>
  <si>
    <t>Suma de Corte</t>
  </si>
  <si>
    <t>Suma de Otros</t>
  </si>
  <si>
    <t>Suma de Back Up</t>
  </si>
  <si>
    <t>Suma de TQ</t>
  </si>
  <si>
    <t>Suma de Current (mA)</t>
  </si>
  <si>
    <t>Suma de Volumen de Material (m3)</t>
  </si>
  <si>
    <t>Suma de PEM-V01 RE (mm/s)</t>
  </si>
  <si>
    <t>Suma de PEM-V01 ES (mm/s)</t>
  </si>
  <si>
    <t>Suma de PEM-V04 RE (mm/s)</t>
  </si>
  <si>
    <t>Suma de PEM-V04 ES (mm/s)</t>
  </si>
  <si>
    <t>INGRESO DE CABLE JUMPER (2X22 AWG)</t>
  </si>
  <si>
    <t>DEVOLUCIÓN</t>
  </si>
  <si>
    <t>C-20</t>
  </si>
  <si>
    <t>C-21</t>
  </si>
  <si>
    <t>10/8/2024-INSPECCIÓN</t>
  </si>
  <si>
    <t>13/8/2024-INSPECCIÓN</t>
  </si>
  <si>
    <t>C-22</t>
  </si>
  <si>
    <t>C-23</t>
  </si>
  <si>
    <t>C-24</t>
  </si>
  <si>
    <t>C-25</t>
  </si>
  <si>
    <t>C-26</t>
  </si>
  <si>
    <t>C-27</t>
  </si>
  <si>
    <t>C-28</t>
  </si>
  <si>
    <t>C-29</t>
  </si>
  <si>
    <t>C-30</t>
  </si>
  <si>
    <t>C-31</t>
  </si>
  <si>
    <t>C-32</t>
  </si>
  <si>
    <t>C-33</t>
  </si>
  <si>
    <t>C-34</t>
  </si>
  <si>
    <t>C-35</t>
  </si>
  <si>
    <t>C-36</t>
  </si>
  <si>
    <t>C-37</t>
  </si>
  <si>
    <t>C-38</t>
  </si>
  <si>
    <t>C-39</t>
  </si>
  <si>
    <t>C-40</t>
  </si>
  <si>
    <t>C-41</t>
  </si>
  <si>
    <t>C-42</t>
  </si>
  <si>
    <t>C-43</t>
  </si>
  <si>
    <t>C-desquinche</t>
  </si>
  <si>
    <t>C-44</t>
  </si>
  <si>
    <t>C-45</t>
  </si>
  <si>
    <t>C-46</t>
  </si>
  <si>
    <t>C-47</t>
  </si>
  <si>
    <t>C-48</t>
  </si>
  <si>
    <t>C-49</t>
  </si>
  <si>
    <t>C-50</t>
  </si>
  <si>
    <t>C-51</t>
  </si>
  <si>
    <t>C-52</t>
  </si>
  <si>
    <t>C-53</t>
  </si>
  <si>
    <t>C-54</t>
  </si>
  <si>
    <t>C-55</t>
  </si>
  <si>
    <t>C-56</t>
  </si>
  <si>
    <t>C-57</t>
  </si>
  <si>
    <t>C-58</t>
  </si>
  <si>
    <t>C-59</t>
  </si>
  <si>
    <t>C-60</t>
  </si>
  <si>
    <t>C-61</t>
  </si>
  <si>
    <t>C-62</t>
  </si>
  <si>
    <t>C-63</t>
  </si>
  <si>
    <t>C-64</t>
  </si>
  <si>
    <t>C-65 / Desquinche</t>
  </si>
  <si>
    <t>C-66</t>
  </si>
  <si>
    <t>C.67</t>
  </si>
  <si>
    <t>C-68</t>
  </si>
  <si>
    <t>C-69</t>
  </si>
  <si>
    <t>C-70</t>
  </si>
  <si>
    <t>C-71</t>
  </si>
  <si>
    <t>C-72</t>
  </si>
  <si>
    <t>C-73</t>
  </si>
  <si>
    <t>C-74</t>
  </si>
  <si>
    <t>C-75</t>
  </si>
  <si>
    <t>C-76</t>
  </si>
  <si>
    <t>C-77</t>
  </si>
  <si>
    <t>C-78</t>
  </si>
  <si>
    <t>215 - 71</t>
  </si>
  <si>
    <t>216-72</t>
  </si>
  <si>
    <t>220-76</t>
  </si>
  <si>
    <t>221-77</t>
  </si>
  <si>
    <t>Suma de Cable Jumper (m)2x22 - Intellishot</t>
  </si>
  <si>
    <t>Suma de Cable Jumper (m)2x20 - Fametronic</t>
  </si>
  <si>
    <t>Suma de Cordon Detonante 5P  (mts)</t>
  </si>
  <si>
    <t>Suma de EMULSIÓN 1000 1" x  8” (PZA)2</t>
  </si>
  <si>
    <t>Suma de Detonador consumido (Fametronic)</t>
  </si>
  <si>
    <t xml:space="preserve">Suma de Detonador Consumido (Intellishot) </t>
  </si>
  <si>
    <t xml:space="preserve">Suma de Detonador Consumido (Digishot) </t>
  </si>
  <si>
    <t>Suma de EMULSIÓN 3000 1 ¼ 12” (PZA)</t>
  </si>
  <si>
    <t>Suma de EMULSIÓN 1000 1 ¼x 12” (PZA)</t>
  </si>
  <si>
    <t>Emulsión Encartuchada</t>
  </si>
  <si>
    <t>Detonadores Electrónicos</t>
  </si>
  <si>
    <t>Cable Jumper</t>
  </si>
  <si>
    <t>Cordón Detonante</t>
  </si>
  <si>
    <t>Sede</t>
  </si>
  <si>
    <t>Chancay</t>
  </si>
  <si>
    <t>TOTAL</t>
  </si>
  <si>
    <t>CAPACIDAD DE PRODUCCIÓN ANUAL</t>
  </si>
  <si>
    <t>pz</t>
  </si>
  <si>
    <t xml:space="preserve">  -</t>
  </si>
  <si>
    <t xml:space="preserve"> -</t>
  </si>
  <si>
    <t>P. Piedra</t>
  </si>
  <si>
    <t>Total general(Kg)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</si>
</sst>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;@"/>
    <numFmt numFmtId="165" formatCode="0.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74">
    <xf numFmtId="0" fontId="0" fillId="0" borderId="0" xfId="0"/>
    <xf numFmtId="14" fontId="0" fillId="0" borderId="0" xfId="0" applyNumberFormat="1"/>
    <xf numFmtId="0" fontId="2" fillId="2" borderId="0" xfId="0" applyFont="1" applyFill="1"/>
    <xf numFmtId="14" fontId="2" fillId="2" borderId="0" xfId="0" applyNumberFormat="1" applyFont="1" applyFill="1"/>
    <xf numFmtId="0" fontId="2" fillId="6" borderId="0" xfId="0" applyFont="1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2" borderId="0" xfId="0" applyFont="1" applyFill="1"/>
    <xf numFmtId="0" fontId="3" fillId="0" borderId="0" xfId="0" applyFont="1"/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6" xfId="0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2" fontId="2" fillId="2" borderId="0" xfId="0" applyNumberFormat="1" applyFont="1" applyFill="1"/>
    <xf numFmtId="2" fontId="3" fillId="2" borderId="0" xfId="0" applyNumberFormat="1" applyFont="1" applyFill="1"/>
    <xf numFmtId="2" fontId="3" fillId="0" borderId="0" xfId="0" applyNumberFormat="1" applyFont="1"/>
    <xf numFmtId="0" fontId="3" fillId="2" borderId="0" xfId="0" applyFont="1" applyFill="1" applyAlignment="1">
      <alignment horizontal="left"/>
    </xf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 wrapText="1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/>
    <xf numFmtId="0" fontId="0" fillId="0" borderId="0" xfId="0" applyAlignment="1">
      <alignment horizontal="left" vertical="center" wrapText="1" indent="1"/>
    </xf>
    <xf numFmtId="14" fontId="0" fillId="0" borderId="0" xfId="0" applyNumberFormat="1" applyAlignment="1">
      <alignment horizontal="left" vertical="center" wrapText="1" indent="1"/>
    </xf>
    <xf numFmtId="0" fontId="0" fillId="8" borderId="0" xfId="0" applyFill="1" applyAlignment="1">
      <alignment horizontal="left" vertical="center" wrapText="1" indent="1"/>
    </xf>
    <xf numFmtId="0" fontId="0" fillId="4" borderId="0" xfId="0" applyFill="1" applyAlignment="1">
      <alignment horizontal="left" vertical="center" wrapText="1" indent="1"/>
    </xf>
    <xf numFmtId="0" fontId="0" fillId="2" borderId="0" xfId="0" applyFill="1" applyAlignment="1">
      <alignment horizontal="left" vertical="center" wrapText="1" indent="1"/>
    </xf>
    <xf numFmtId="0" fontId="10" fillId="5" borderId="0" xfId="0" applyFont="1" applyFill="1" applyAlignment="1">
      <alignment horizontal="left" vertical="center" wrapText="1" indent="1"/>
    </xf>
    <xf numFmtId="0" fontId="0" fillId="0" borderId="0" xfId="0" applyAlignment="1">
      <alignment horizontal="center" vertical="center" wrapText="1" indent="1"/>
    </xf>
    <xf numFmtId="0" fontId="0" fillId="0" borderId="0" xfId="0" applyAlignment="1">
      <alignment horizontal="center" vertical="center" indent="1"/>
    </xf>
    <xf numFmtId="0" fontId="3" fillId="0" borderId="0" xfId="0" applyFont="1" applyAlignment="1">
      <alignment horizontal="left"/>
    </xf>
    <xf numFmtId="165" fontId="3" fillId="0" borderId="0" xfId="0" applyNumberFormat="1" applyFont="1" applyAlignment="1">
      <alignment horizontal="left"/>
    </xf>
    <xf numFmtId="0" fontId="0" fillId="5" borderId="0" xfId="0" applyFill="1" applyAlignment="1">
      <alignment horizontal="right" vertical="center"/>
    </xf>
    <xf numFmtId="164" fontId="0" fillId="5" borderId="0" xfId="0" applyNumberFormat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11" fillId="8" borderId="0" xfId="0" applyFont="1" applyFill="1" applyAlignment="1">
      <alignment wrapText="1"/>
    </xf>
    <xf numFmtId="0" fontId="11" fillId="8" borderId="0" xfId="0" applyFont="1" applyFill="1" applyAlignment="1">
      <alignment horizontal="center" wrapText="1"/>
    </xf>
    <xf numFmtId="0" fontId="12" fillId="8" borderId="0" xfId="0" applyFont="1" applyFill="1"/>
    <xf numFmtId="0" fontId="12" fillId="8" borderId="0" xfId="0" applyFont="1" applyFill="1" applyAlignment="1">
      <alignment horizontal="center"/>
    </xf>
    <xf numFmtId="0" fontId="0" fillId="7" borderId="0" xfId="0" applyFill="1"/>
    <xf numFmtId="0" fontId="3" fillId="7" borderId="8" xfId="0" applyFont="1" applyFill="1" applyBorder="1"/>
    <xf numFmtId="0" fontId="0" fillId="7" borderId="0" xfId="0" applyFill="1" applyAlignment="1">
      <alignment horizontal="right"/>
    </xf>
    <xf numFmtId="0" fontId="0" fillId="0" borderId="0" xfId="0"/>
    <xf numFmtId="0" fontId="4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1" fillId="8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3" fillId="2" borderId="0" xfId="0" applyFont="1" applyFill="1" applyAlignment="1">
      <alignment wrapText="1"/>
    </xf>
    <xf numFmtId="0" fontId="0" fillId="9" borderId="0" xfId="0" applyFill="1" applyAlignment="1">
      <alignment horizontal="left"/>
    </xf>
    <xf numFmtId="0" fontId="0" fillId="9" borderId="0" xfId="0" applyFill="1"/>
    <xf numFmtId="0" fontId="3" fillId="10" borderId="7" xfId="0" applyFont="1" applyFill="1" applyBorder="1" applyAlignment="1">
      <alignment horizontal="left"/>
    </xf>
    <xf numFmtId="0" fontId="3" fillId="10" borderId="7" xfId="0" applyFont="1" applyFill="1" applyBorder="1"/>
    <xf numFmtId="2" fontId="3" fillId="10" borderId="7" xfId="0" applyNumberFormat="1" applyFont="1" applyFill="1" applyBorder="1"/>
  </cellXfs>
  <cellStyles count="2">
    <cellStyle name="Normal" xfId="0" builtinId="0"/>
    <cellStyle name="Normal 2" xfId="1" xr:uid="{00000000-0005-0000-0000-000006000000}"/>
  </cellStyles>
  <dxfs count="16"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alignment wrapText="1"/>
    </dxf>
    <dxf>
      <alignment wrapText="1"/>
    </dxf>
    <dxf>
      <alignment horizontal="center"/>
    </dxf>
    <dxf>
      <alignment horizontal="center" vertical="bottom" textRotation="0" wrapText="0" indent="0" justifyLastLine="0" shrinkToFit="0" readingOrder="0"/>
    </dxf>
    <dxf>
      <alignment horizontal="center"/>
    </dxf>
    <dxf>
      <numFmt numFmtId="164" formatCode="dd\-mm\-yy;@"/>
      <alignment horizontal="center"/>
    </dxf>
    <dxf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left" vertical="center" wrapText="1" relativeIndent="-1"/>
    </dxf>
    <dxf>
      <numFmt numFmtId="19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cineida Quispe Rosas" refreshedDate="45532.92985335648" createdVersion="7" refreshedVersion="8" minRefreshableVersion="3" recordCount="379" xr:uid="{00000000-000A-0000-FFFF-FFFFF2420000}">
  <cacheSource type="worksheet">
    <worksheetSource name="Tabla5"/>
  </cacheSource>
  <cacheFields count="43">
    <cacheField name="N°¨Vold." numFmtId="0">
      <sharedItems containsMixedTypes="1" containsNumber="1" containsInteger="1" minValue="1" maxValue="207"/>
    </cacheField>
    <cacheField name="ZONA" numFmtId="0">
      <sharedItems count="2">
        <s v="ZOP"/>
        <s v="CI"/>
      </sharedItems>
    </cacheField>
    <cacheField name="AÑO" numFmtId="0">
      <sharedItems containsSemiMixedTypes="0" containsString="0" containsNumber="1" containsInteger="1" minValue="2024" maxValue="2024"/>
    </cacheField>
    <cacheField name="Mes" numFmtId="0">
      <sharedItems count="12">
        <s v="Marzo"/>
        <s v="Abril"/>
        <s v="Mayo"/>
        <s v="Junio"/>
        <s v="Julio"/>
        <s v="Julio "/>
        <s v="Agosto"/>
        <s v="Agosto "/>
        <s v="June" u="1"/>
        <s v="Juio" u="1"/>
        <s v="Enero" u="1"/>
        <s v="Febrero" u="1"/>
      </sharedItems>
    </cacheField>
    <cacheField name="Fecha de Disparo" numFmtId="164">
      <sharedItems containsDate="1" containsMixedTypes="1" minDate="1900-01-26T00:00:00" maxDate="2024-08-28T00:00:00" count="154">
        <d v="2024-03-18T00:00:00"/>
        <d v="2024-03-20T00:00:00"/>
        <d v="2024-03-24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s v="23-07-24"/>
        <s v="24-07-24"/>
        <d v="2024-07-25T00:00:00"/>
        <s v="25-07-24"/>
        <s v="26-07-24"/>
        <d v="2024-07-27T00:00:00"/>
        <s v="28-07-24"/>
        <s v="29-07-24"/>
        <s v="30-07-24"/>
        <d v="2024-07-30T00:00:00"/>
        <d v="2024-07-31T00:00:00"/>
        <s v="31-07-24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s v="13-08-24"/>
        <d v="2024-08-14T00:00:00"/>
        <d v="2024-08-15T00:00:00"/>
        <s v="15-08-24"/>
        <d v="2024-08-16T00:00:00"/>
        <s v="16-08-24"/>
        <s v="17-08-24"/>
        <s v="18-08-24"/>
        <d v="2024-08-21T00:00:00"/>
        <d v="2024-08-22T00:00:00"/>
        <d v="2024-08-27T00:00:00"/>
        <d v="2024-03-25T00:00:00" u="1"/>
        <d v="1900-01-26T00:00:00" u="1"/>
        <d v="2024-02-08T00:00:00" u="1"/>
      </sharedItems>
    </cacheField>
    <cacheField name="Frente" numFmtId="0">
      <sharedItems/>
    </cacheField>
    <cacheField name="#Voladura" numFmtId="0">
      <sharedItems containsBlank="1" containsMixedTypes="1" containsNumber="1" containsInteger="1" minValue="1" maxValue="228"/>
    </cacheField>
    <cacheField name="Detonadores Consumidos" numFmtId="0">
      <sharedItems containsSemiMixedTypes="0" containsString="0" containsNumber="1" containsInteger="1" minValue="1" maxValue="205"/>
    </cacheField>
    <cacheField name="Detonador consumido (Fametronic)" numFmtId="0">
      <sharedItems containsString="0" containsBlank="1" containsNumber="1" containsInteger="1" minValue="0" maxValue="204"/>
    </cacheField>
    <cacheField name="Detonador Consumido (Intellishot) " numFmtId="0">
      <sharedItems containsString="0" containsBlank="1" containsNumber="1" containsInteger="1" minValue="0" maxValue="200"/>
    </cacheField>
    <cacheField name="Detonador Consumido (Digishot) " numFmtId="0">
      <sharedItems containsString="0" containsBlank="1" containsNumber="1" containsInteger="1" minValue="0" maxValue="205"/>
    </cacheField>
    <cacheField name="Taladros Simples" numFmtId="0">
      <sharedItems containsString="0" containsBlank="1" containsNumber="1" containsInteger="1" minValue="0" maxValue="205"/>
    </cacheField>
    <cacheField name="Taladros Dobles" numFmtId="0">
      <sharedItems containsString="0" containsBlank="1" containsNumber="1" containsInteger="1" minValue="0" maxValue="150"/>
    </cacheField>
    <cacheField name="Taladros Triples" numFmtId="0">
      <sharedItems containsString="0" containsBlank="1" containsNumber="1" containsInteger="1" minValue="0" maxValue="0"/>
    </cacheField>
    <cacheField name="N°TOTAL TALADROS CARGADOS" numFmtId="0">
      <sharedItems containsSemiMixedTypes="0" containsString="0" containsNumber="1" containsInteger="1" minValue="0" maxValue="205"/>
    </cacheField>
    <cacheField name="EMULSIÓN 500                 1 ¼ 12” (PZA)" numFmtId="0">
      <sharedItems containsNonDate="0" containsString="0" containsBlank="1"/>
    </cacheField>
    <cacheField name="EMULSIÓN 1000 1 ¼x 12” (PZA)" numFmtId="0">
      <sharedItems containsBlank="1" containsMixedTypes="1" containsNumber="1" minValue="0" maxValue="806" count="146">
        <m/>
        <n v="15"/>
        <n v="14"/>
        <n v="95"/>
        <n v="99"/>
        <n v="113"/>
        <n v="118"/>
        <n v="180"/>
        <n v="181"/>
        <n v="0"/>
        <n v="55"/>
        <n v="127"/>
        <n v="194"/>
        <n v="125"/>
        <n v="163"/>
        <n v="131"/>
        <n v="137"/>
        <n v="71"/>
        <n v="115"/>
        <n v="213"/>
        <n v="91"/>
        <n v="145"/>
        <n v="135"/>
        <n v="112"/>
        <n v="164"/>
        <n v="70"/>
        <n v="144"/>
        <n v="160"/>
        <n v="156"/>
        <n v="133"/>
        <n v="170"/>
        <n v="40"/>
        <n v="75"/>
        <n v="90"/>
        <n v="32"/>
        <n v="69"/>
        <n v="60"/>
        <n v="53.5"/>
        <n v="85"/>
        <n v="67"/>
        <n v="103"/>
        <n v="106.5"/>
        <n v="78"/>
        <n v="120.5"/>
        <n v="111"/>
        <n v="126"/>
        <n v="75.5"/>
        <n v="21.5"/>
        <n v="30"/>
        <n v="8"/>
        <n v="79.5"/>
        <n v="151.5"/>
        <n v="49.5"/>
        <n v="7.87"/>
        <n v="43.5"/>
        <n v="18.5"/>
        <n v="33.5"/>
        <n v="26.5"/>
        <n v="210"/>
        <n v="60.5"/>
        <n v="57"/>
        <n v="108"/>
        <n v="35.5"/>
        <n v="76.5"/>
        <n v="110"/>
        <n v="96"/>
        <n v="120"/>
        <n v="19"/>
        <n v="300"/>
        <n v="17"/>
        <n v="86"/>
        <n v="92"/>
        <n v="100"/>
        <n v="4"/>
        <n v="83"/>
        <n v="36.5"/>
        <n v="24"/>
        <n v="187.5"/>
        <n v="3.25"/>
        <n v="145.5"/>
        <n v="7.25"/>
        <n v="43.75"/>
        <n v="192"/>
        <n v="68"/>
        <n v="685"/>
        <n v="64"/>
        <n v="72"/>
        <n v="62"/>
        <n v="50"/>
        <n v="52.5"/>
        <n v="44"/>
        <n v="13.5"/>
        <n v="88.5"/>
        <n v="10"/>
        <n v="23"/>
        <n v="6.5"/>
        <n v="146"/>
        <n v="124.5"/>
        <n v="177"/>
        <n v="169.5"/>
        <n v="90.5"/>
        <n v="119"/>
        <s v=" "/>
        <n v="84"/>
        <s v="107.5"/>
        <n v="77"/>
        <n v="25"/>
        <s v="106.5"/>
        <n v="152"/>
        <n v="105"/>
        <s v="172.5"/>
        <n v="66"/>
        <s v="135.5"/>
        <n v="130"/>
        <n v="54"/>
        <n v="806"/>
        <n v="184"/>
        <n v="551"/>
        <s v="154.5"/>
        <n v="356"/>
        <n v="520"/>
        <n v="623"/>
        <n v="81"/>
        <n v="107"/>
        <n v="143"/>
        <n v="80"/>
        <n v="195"/>
        <n v="151"/>
        <n v="186"/>
        <n v="200"/>
        <n v="178"/>
        <n v="193"/>
        <n v="198"/>
        <n v="218"/>
        <n v="76"/>
        <n v="142.5"/>
        <n v="205"/>
        <n v="245"/>
        <n v="349"/>
        <n v="261"/>
        <n v="344"/>
        <n v="363"/>
        <n v="335"/>
        <n v="315"/>
        <n v="208"/>
        <n v="206"/>
      </sharedItems>
    </cacheField>
    <cacheField name="EMULSIÓN 1000 1&quot; x  8” (PZA)2" numFmtId="0">
      <sharedItems containsString="0" containsBlank="1" containsNumber="1" containsInteger="1" minValue="0" maxValue="610"/>
    </cacheField>
    <cacheField name="EMULSIÓN 3000 1 ¼ 12” (PZA)" numFmtId="0">
      <sharedItems containsBlank="1" containsMixedTypes="1" containsNumber="1" minValue="0" maxValue="2250"/>
    </cacheField>
    <cacheField name="EMULSIÓN 5000                 1 ¼ 12”  (PZA)" numFmtId="0">
      <sharedItems containsString="0" containsBlank="1" containsNumber="1" containsInteger="1" minValue="0" maxValue="0"/>
    </cacheField>
    <cacheField name="Responsables " numFmtId="0">
      <sharedItems containsBlank="1"/>
    </cacheField>
    <cacheField name="Cordon Detonante 5P  (mts)" numFmtId="0">
      <sharedItems containsString="0" containsBlank="1" containsNumber="1" minValue="0" maxValue="400"/>
    </cacheField>
    <cacheField name="Cable Jumper (m)2x20 - Fametronic" numFmtId="0">
      <sharedItems containsString="0" containsBlank="1" containsNumber="1" containsInteger="1" minValue="0" maxValue="600"/>
    </cacheField>
    <cacheField name="Cable Jumper (m)2x22 - Intellishot" numFmtId="0">
      <sharedItems containsString="0" containsBlank="1" containsNumber="1" containsInteger="1" minValue="0" maxValue="600"/>
    </cacheField>
    <cacheField name="Fuga" numFmtId="0">
      <sharedItems containsString="0" containsBlank="1" containsNumber="1" containsInteger="1" minValue="0" maxValue="0"/>
    </cacheField>
    <cacheField name="Corte" numFmtId="0">
      <sharedItems containsString="0" containsBlank="1" containsNumber="1" containsInteger="1" minValue="0" maxValue="0"/>
    </cacheField>
    <cacheField name="Otros" numFmtId="0">
      <sharedItems containsString="0" containsBlank="1" containsNumber="1" containsInteger="1" minValue="0" maxValue="0"/>
    </cacheField>
    <cacheField name="Total No Reply" numFmtId="0">
      <sharedItems containsString="0" containsBlank="1" containsNumber="1" containsInteger="1" minValue="0" maxValue="0"/>
    </cacheField>
    <cacheField name="Back Up" numFmtId="0">
      <sharedItems containsString="0" containsBlank="1" containsNumber="1" containsInteger="1" minValue="0" maxValue="0"/>
    </cacheField>
    <cacheField name="TQ" numFmtId="0">
      <sharedItems containsString="0" containsBlank="1" containsNumber="1" containsInteger="1" minValue="0" maxValue="3"/>
    </cacheField>
    <cacheField name="Current (mA)" numFmtId="0">
      <sharedItems containsString="0" containsBlank="1" containsNumber="1" minValue="0.3" maxValue="4.28"/>
    </cacheField>
    <cacheField name="Volumen de Material (m3)" numFmtId="0">
      <sharedItems containsMixedTypes="1" containsNumber="1" containsInteger="1" minValue="0" maxValue="0"/>
    </cacheField>
    <cacheField name="PEM-V01 ES (mm/s)" numFmtId="0">
      <sharedItems containsString="0" containsBlank="1" containsNumber="1" minValue="2.61" maxValue="2.61"/>
    </cacheField>
    <cacheField name="DISTANCE (m)" numFmtId="0">
      <sharedItems containsString="0" containsBlank="1" containsNumber="1" containsInteger="1" minValue="36" maxValue="36"/>
    </cacheField>
    <cacheField name="PEM-V01 RE (mm/s)" numFmtId="0">
      <sharedItems containsString="0" containsBlank="1" containsNumber="1" minValue="2.98" maxValue="2.98"/>
    </cacheField>
    <cacheField name="PEM-V04 ES (mm/s)" numFmtId="0">
      <sharedItems containsString="0" containsBlank="1" containsNumber="1" minValue="1.1100000000000001" maxValue="1.1100000000000001"/>
    </cacheField>
    <cacheField name="DISTANCE (m)2" numFmtId="0">
      <sharedItems containsString="0" containsBlank="1" containsNumber="1" containsInteger="1" minValue="61" maxValue="61"/>
    </cacheField>
    <cacheField name="PEM-V04 RE (mm/s)" numFmtId="0">
      <sharedItems containsString="0" containsBlank="1" containsNumber="1" minValue="0.4" maxValue="0.4"/>
    </cacheField>
    <cacheField name="PEM-Cs" numFmtId="0">
      <sharedItems containsNonDate="0" containsString="0" containsBlank="1"/>
    </cacheField>
    <cacheField name="DISTANCE (m)4" numFmtId="0">
      <sharedItems containsNonDate="0" containsString="0" containsBlank="1"/>
    </cacheField>
    <cacheField name="PEM-Cs5" numFmtId="0">
      <sharedItems containsNonDate="0" containsString="0" containsBlank="1"/>
    </cacheField>
    <cacheField name="#VOLADURA-ZONA" numFmtId="0">
      <sharedItems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9">
  <r>
    <n v="1"/>
    <x v="0"/>
    <n v="2024"/>
    <x v="0"/>
    <x v="0"/>
    <s v="Galería 01"/>
    <n v="1"/>
    <n v="9"/>
    <n v="9"/>
    <m/>
    <m/>
    <n v="9"/>
    <n v="0"/>
    <n v="0"/>
    <n v="9"/>
    <m/>
    <x v="0"/>
    <m/>
    <n v="15"/>
    <m/>
    <s v="Saul Galvan/Paul Lovaton/Junior Bonilla"/>
    <n v="0"/>
    <n v="200"/>
    <m/>
    <n v="0"/>
    <n v="0"/>
    <n v="0"/>
    <n v="0"/>
    <n v="0"/>
    <n v="0"/>
    <n v="0.3"/>
    <e v="#REF!"/>
    <n v="2.61"/>
    <n v="36"/>
    <n v="2.98"/>
    <n v="1.1100000000000001"/>
    <n v="61"/>
    <n v="0.4"/>
    <m/>
    <m/>
    <m/>
    <s v="Galería 01-Vol 1"/>
    <s v="Sin Novedad"/>
  </r>
  <r>
    <n v="2"/>
    <x v="0"/>
    <n v="2024"/>
    <x v="0"/>
    <x v="1"/>
    <s v="Galería 01"/>
    <n v="2"/>
    <n v="18"/>
    <n v="18"/>
    <m/>
    <m/>
    <n v="18"/>
    <n v="0"/>
    <n v="0"/>
    <n v="18"/>
    <m/>
    <x v="0"/>
    <m/>
    <n v="30"/>
    <m/>
    <s v="Saul Galvan/Paul Lovaton/Junior Bonilla"/>
    <n v="0"/>
    <n v="200"/>
    <m/>
    <n v="0"/>
    <n v="0"/>
    <n v="0"/>
    <n v="0"/>
    <m/>
    <m/>
    <n v="0.32"/>
    <n v="0"/>
    <m/>
    <m/>
    <m/>
    <m/>
    <m/>
    <m/>
    <m/>
    <m/>
    <m/>
    <s v="Galería 01-Vol 2"/>
    <s v="Sin Novedad"/>
  </r>
  <r>
    <n v="3"/>
    <x v="0"/>
    <n v="2024"/>
    <x v="0"/>
    <x v="2"/>
    <s v="Galería 01"/>
    <n v="3"/>
    <n v="49"/>
    <n v="49"/>
    <m/>
    <m/>
    <n v="49"/>
    <n v="0"/>
    <n v="0"/>
    <n v="49"/>
    <m/>
    <x v="0"/>
    <m/>
    <n v="92"/>
    <m/>
    <s v="Saul Galvan/Paul Lovaton/Junior Bonilla"/>
    <n v="0"/>
    <n v="200"/>
    <m/>
    <n v="0"/>
    <n v="0"/>
    <n v="0"/>
    <n v="0"/>
    <m/>
    <m/>
    <m/>
    <n v="0"/>
    <m/>
    <m/>
    <m/>
    <m/>
    <m/>
    <m/>
    <m/>
    <m/>
    <m/>
    <s v="Galería 01-Vol 3"/>
    <s v="Sin Novedad"/>
  </r>
  <r>
    <n v="4"/>
    <x v="0"/>
    <n v="2024"/>
    <x v="0"/>
    <x v="3"/>
    <s v="GAL 01 y GAL 02"/>
    <n v="4"/>
    <n v="137"/>
    <n v="137"/>
    <m/>
    <m/>
    <n v="137"/>
    <n v="0"/>
    <n v="0"/>
    <n v="137"/>
    <m/>
    <x v="0"/>
    <m/>
    <n v="381"/>
    <m/>
    <s v="Paul Lovaton/Junior Bonilla"/>
    <n v="35"/>
    <n v="200"/>
    <m/>
    <n v="0"/>
    <n v="0"/>
    <n v="0"/>
    <n v="0"/>
    <m/>
    <m/>
    <n v="2.35"/>
    <e v="#REF!"/>
    <m/>
    <m/>
    <m/>
    <m/>
    <m/>
    <m/>
    <m/>
    <m/>
    <m/>
    <s v="GAL 01 y GAL 02-Vol 4"/>
    <s v="Sin Novedad"/>
  </r>
  <r>
    <n v="5"/>
    <x v="0"/>
    <n v="2024"/>
    <x v="0"/>
    <x v="4"/>
    <s v="GAL 01 y GAL 02"/>
    <n v="5"/>
    <n v="122"/>
    <n v="122"/>
    <m/>
    <m/>
    <n v="122"/>
    <n v="0"/>
    <n v="0"/>
    <n v="122"/>
    <m/>
    <x v="0"/>
    <m/>
    <n v="306"/>
    <m/>
    <s v="Paul Lovaton/Junior Bonilla"/>
    <n v="30"/>
    <n v="200"/>
    <m/>
    <n v="0"/>
    <n v="0"/>
    <n v="0"/>
    <n v="0"/>
    <m/>
    <m/>
    <n v="2.46"/>
    <e v="#REF!"/>
    <m/>
    <m/>
    <m/>
    <m/>
    <m/>
    <m/>
    <m/>
    <m/>
    <m/>
    <s v="GAL 01 y GAL 02-Vol 5"/>
    <s v="Sin Novedad"/>
  </r>
  <r>
    <n v="6"/>
    <x v="0"/>
    <n v="2024"/>
    <x v="0"/>
    <x v="5"/>
    <s v="GAL 01 y GAL 02"/>
    <n v="6"/>
    <n v="106"/>
    <n v="106"/>
    <m/>
    <m/>
    <n v="106"/>
    <n v="0"/>
    <n v="0"/>
    <n v="106"/>
    <m/>
    <x v="0"/>
    <m/>
    <n v="236"/>
    <m/>
    <s v="Paul Lovaton/Junior Bonilla"/>
    <n v="13.2"/>
    <n v="200"/>
    <m/>
    <n v="0"/>
    <n v="0"/>
    <n v="0"/>
    <n v="0"/>
    <m/>
    <m/>
    <n v="2.0299999999999998"/>
    <e v="#REF!"/>
    <m/>
    <m/>
    <m/>
    <m/>
    <m/>
    <m/>
    <m/>
    <m/>
    <m/>
    <s v="GAL 01 y GAL 02-Vol 6"/>
    <s v="Sin Novedad"/>
  </r>
  <r>
    <n v="7"/>
    <x v="0"/>
    <n v="2024"/>
    <x v="0"/>
    <x v="6"/>
    <s v="GAL 01 y GAL 02"/>
    <n v="7"/>
    <n v="116"/>
    <n v="116"/>
    <m/>
    <m/>
    <n v="116"/>
    <n v="0"/>
    <n v="0"/>
    <n v="116"/>
    <m/>
    <x v="0"/>
    <m/>
    <n v="269"/>
    <m/>
    <s v="Paul Lovaton/Junior Bonilla"/>
    <n v="18.600000000000001"/>
    <n v="200"/>
    <m/>
    <n v="0"/>
    <n v="0"/>
    <n v="0"/>
    <n v="0"/>
    <m/>
    <m/>
    <n v="2.0099999999999998"/>
    <e v="#REF!"/>
    <m/>
    <m/>
    <m/>
    <m/>
    <m/>
    <m/>
    <m/>
    <m/>
    <m/>
    <s v="GAL 01 y GAL 02-Vol 7"/>
    <s v="Sin Novedad"/>
  </r>
  <r>
    <n v="8"/>
    <x v="0"/>
    <n v="2024"/>
    <x v="0"/>
    <x v="7"/>
    <s v="GAL 01 y GAL 02"/>
    <n v="8"/>
    <n v="128"/>
    <n v="128"/>
    <m/>
    <m/>
    <n v="128"/>
    <n v="0"/>
    <n v="0"/>
    <n v="128"/>
    <m/>
    <x v="0"/>
    <m/>
    <n v="292"/>
    <m/>
    <s v="Paul Lovaton/Junior Bonilla"/>
    <n v="3.8"/>
    <n v="200"/>
    <m/>
    <n v="0"/>
    <n v="0"/>
    <n v="0"/>
    <n v="0"/>
    <m/>
    <m/>
    <n v="2.65"/>
    <e v="#REF!"/>
    <m/>
    <m/>
    <m/>
    <m/>
    <m/>
    <m/>
    <m/>
    <m/>
    <m/>
    <s v="GAL 01 y GAL 02-Vol 8"/>
    <s v="Sin Novedad"/>
  </r>
  <r>
    <n v="9"/>
    <x v="0"/>
    <n v="2024"/>
    <x v="0"/>
    <x v="8"/>
    <s v="GAL 01 y GAL 02"/>
    <n v="9"/>
    <n v="124"/>
    <n v="124"/>
    <m/>
    <m/>
    <n v="124"/>
    <n v="0"/>
    <n v="0"/>
    <n v="124"/>
    <m/>
    <x v="0"/>
    <m/>
    <n v="280"/>
    <m/>
    <s v="Paul Lovaton/Junior Bonilla"/>
    <n v="14.8"/>
    <n v="200"/>
    <m/>
    <n v="0"/>
    <n v="0"/>
    <n v="0"/>
    <n v="0"/>
    <m/>
    <n v="1"/>
    <n v="2.3199999999999998"/>
    <e v="#REF!"/>
    <m/>
    <m/>
    <m/>
    <m/>
    <m/>
    <m/>
    <m/>
    <m/>
    <m/>
    <s v="GAL 01 y GAL 02-Vol 9"/>
    <s v="Sin Novedad"/>
  </r>
  <r>
    <n v="10"/>
    <x v="0"/>
    <n v="2024"/>
    <x v="1"/>
    <x v="9"/>
    <s v="GAL 01 y GAL 02"/>
    <n v="10"/>
    <n v="122"/>
    <n v="122"/>
    <m/>
    <m/>
    <n v="122"/>
    <n v="0"/>
    <n v="0"/>
    <n v="122"/>
    <m/>
    <x v="0"/>
    <m/>
    <n v="274.5"/>
    <m/>
    <s v="Paul Lovaton/Junior Bonilla"/>
    <n v="14"/>
    <n v="200"/>
    <m/>
    <n v="0"/>
    <n v="0"/>
    <n v="0"/>
    <n v="0"/>
    <m/>
    <m/>
    <n v="2.15"/>
    <e v="#REF!"/>
    <m/>
    <m/>
    <m/>
    <m/>
    <m/>
    <m/>
    <m/>
    <m/>
    <m/>
    <s v="GAL 01 y GAL 02-Vol 10"/>
    <s v="Sin Novedad"/>
  </r>
  <r>
    <n v="11"/>
    <x v="0"/>
    <n v="2024"/>
    <x v="1"/>
    <x v="10"/>
    <s v="GAL 01 y GAL 02"/>
    <n v="11"/>
    <n v="110"/>
    <n v="110"/>
    <m/>
    <m/>
    <n v="110"/>
    <n v="0"/>
    <n v="0"/>
    <n v="110"/>
    <m/>
    <x v="0"/>
    <m/>
    <n v="221"/>
    <m/>
    <s v="Saul Galvan/     Paul Lovaton"/>
    <n v="5"/>
    <n v="200"/>
    <m/>
    <n v="0"/>
    <n v="0"/>
    <n v="0"/>
    <n v="0"/>
    <m/>
    <m/>
    <n v="2.0299999999999998"/>
    <e v="#REF!"/>
    <m/>
    <m/>
    <m/>
    <m/>
    <m/>
    <m/>
    <m/>
    <m/>
    <m/>
    <s v="GAL 01 y GAL 02-Vol 11"/>
    <s v="Sin Novedad"/>
  </r>
  <r>
    <n v="12"/>
    <x v="0"/>
    <n v="2024"/>
    <x v="1"/>
    <x v="11"/>
    <s v="GAL 01 y GAL 02"/>
    <n v="12"/>
    <n v="110"/>
    <n v="110"/>
    <m/>
    <m/>
    <n v="110"/>
    <n v="0"/>
    <n v="0"/>
    <n v="110"/>
    <m/>
    <x v="0"/>
    <m/>
    <n v="216.5"/>
    <m/>
    <s v="Saul Galvan/     Paul Lovaton"/>
    <n v="15"/>
    <n v="200"/>
    <m/>
    <n v="0"/>
    <n v="0"/>
    <n v="0"/>
    <n v="0"/>
    <m/>
    <m/>
    <n v="2.15"/>
    <e v="#REF!"/>
    <m/>
    <m/>
    <m/>
    <m/>
    <m/>
    <m/>
    <m/>
    <m/>
    <m/>
    <s v="GAL 01 y GAL 02-Vol 12"/>
    <s v="Sin Novedad"/>
  </r>
  <r>
    <n v="13"/>
    <x v="0"/>
    <n v="2024"/>
    <x v="1"/>
    <x v="12"/>
    <s v="GAL 01 y GAL 02"/>
    <n v="13"/>
    <n v="109"/>
    <n v="109"/>
    <m/>
    <m/>
    <n v="109"/>
    <n v="0"/>
    <n v="0"/>
    <n v="109"/>
    <m/>
    <x v="0"/>
    <m/>
    <n v="240"/>
    <m/>
    <s v="Saul Galvan/     Paul Lovaton"/>
    <n v="13"/>
    <n v="200"/>
    <m/>
    <n v="0"/>
    <n v="0"/>
    <n v="0"/>
    <n v="0"/>
    <m/>
    <m/>
    <n v="2.57"/>
    <e v="#REF!"/>
    <m/>
    <m/>
    <m/>
    <m/>
    <m/>
    <m/>
    <m/>
    <m/>
    <m/>
    <s v="GAL 01 y GAL 02-Vol 13"/>
    <s v="Sin Novedad"/>
  </r>
  <r>
    <n v="14"/>
    <x v="0"/>
    <n v="2024"/>
    <x v="1"/>
    <x v="13"/>
    <s v="GAL 01 y GAL 02"/>
    <n v="14"/>
    <n v="144"/>
    <n v="144"/>
    <m/>
    <m/>
    <n v="145"/>
    <n v="0"/>
    <n v="0"/>
    <n v="145"/>
    <m/>
    <x v="1"/>
    <m/>
    <n v="291"/>
    <m/>
    <s v="Saul Galvan / Angel Bereche"/>
    <n v="17"/>
    <n v="200"/>
    <m/>
    <n v="0"/>
    <n v="0"/>
    <n v="0"/>
    <n v="0"/>
    <m/>
    <m/>
    <n v="3.36"/>
    <e v="#REF!"/>
    <m/>
    <m/>
    <m/>
    <m/>
    <m/>
    <m/>
    <m/>
    <m/>
    <m/>
    <s v="GAL 01 y GAL 02-Vol 14"/>
    <s v="Sin Novedad"/>
  </r>
  <r>
    <n v="15"/>
    <x v="0"/>
    <n v="2024"/>
    <x v="1"/>
    <x v="14"/>
    <s v="GAL 01 y GAL 02"/>
    <n v="15"/>
    <n v="145"/>
    <n v="145"/>
    <m/>
    <m/>
    <n v="146"/>
    <n v="0"/>
    <n v="0"/>
    <n v="146"/>
    <m/>
    <x v="2"/>
    <m/>
    <n v="295.5"/>
    <m/>
    <s v="Saul Galvan / Angel Bereche"/>
    <n v="17"/>
    <n v="200"/>
    <m/>
    <n v="0"/>
    <n v="0"/>
    <n v="0"/>
    <n v="0"/>
    <m/>
    <m/>
    <n v="3.28"/>
    <e v="#REF!"/>
    <m/>
    <m/>
    <m/>
    <m/>
    <m/>
    <m/>
    <m/>
    <m/>
    <m/>
    <s v="GAL 01 y GAL 02-Vol 15"/>
    <s v="Sin Novedad"/>
  </r>
  <r>
    <n v="16"/>
    <x v="0"/>
    <n v="2024"/>
    <x v="1"/>
    <x v="15"/>
    <s v="GAL 01 y GAL 02"/>
    <n v="16"/>
    <n v="145"/>
    <n v="145"/>
    <m/>
    <m/>
    <n v="147"/>
    <m/>
    <m/>
    <n v="147"/>
    <m/>
    <x v="3"/>
    <m/>
    <n v="210"/>
    <m/>
    <s v="Saul Galvan / Angel Bereche"/>
    <n v="20.8"/>
    <n v="0"/>
    <m/>
    <n v="0"/>
    <n v="0"/>
    <n v="0"/>
    <n v="0"/>
    <m/>
    <n v="1"/>
    <n v="3.55"/>
    <e v="#REF!"/>
    <m/>
    <m/>
    <m/>
    <m/>
    <m/>
    <m/>
    <m/>
    <m/>
    <m/>
    <s v="GAL 01 y GAL 02-Vol 16"/>
    <s v="Quedó 1 TQ por presión dinamica - corona lado izquierdo"/>
  </r>
  <r>
    <n v="17"/>
    <x v="0"/>
    <n v="2024"/>
    <x v="1"/>
    <x v="16"/>
    <s v="GAL 01 y GAL 02"/>
    <n v="17"/>
    <n v="145"/>
    <n v="145"/>
    <m/>
    <m/>
    <n v="145"/>
    <m/>
    <m/>
    <n v="145"/>
    <m/>
    <x v="3"/>
    <m/>
    <n v="208"/>
    <m/>
    <s v="Saul Galvan / Angel Bereche"/>
    <n v="20"/>
    <n v="200"/>
    <m/>
    <n v="0"/>
    <n v="0"/>
    <n v="0"/>
    <n v="0"/>
    <m/>
    <m/>
    <n v="3.42"/>
    <e v="#REF!"/>
    <m/>
    <m/>
    <m/>
    <m/>
    <m/>
    <m/>
    <m/>
    <m/>
    <m/>
    <s v="GAL 01 y GAL 02-Vol 17"/>
    <s v="Sin Novedad"/>
  </r>
  <r>
    <n v="18"/>
    <x v="0"/>
    <n v="2024"/>
    <x v="1"/>
    <x v="17"/>
    <s v="GAL 01 y GAL 02"/>
    <n v="18"/>
    <n v="145"/>
    <n v="145"/>
    <m/>
    <m/>
    <n v="145"/>
    <m/>
    <m/>
    <n v="145"/>
    <m/>
    <x v="3"/>
    <m/>
    <n v="208"/>
    <m/>
    <s v="Saul Galvan / Angel Bereche / Necineida Quispe"/>
    <n v="20"/>
    <n v="200"/>
    <m/>
    <n v="0"/>
    <n v="0"/>
    <n v="0"/>
    <n v="0"/>
    <m/>
    <m/>
    <n v="3.35"/>
    <e v="#REF!"/>
    <m/>
    <m/>
    <m/>
    <m/>
    <m/>
    <m/>
    <m/>
    <m/>
    <m/>
    <s v="GAL 01 y GAL 02-Vol 18"/>
    <s v="Sin Novedad"/>
  </r>
  <r>
    <n v="19"/>
    <x v="0"/>
    <n v="2024"/>
    <x v="1"/>
    <x v="18"/>
    <s v="GAL 01 y GAL 02"/>
    <n v="19"/>
    <n v="138"/>
    <n v="138"/>
    <m/>
    <m/>
    <n v="150"/>
    <m/>
    <m/>
    <n v="150"/>
    <m/>
    <x v="3"/>
    <m/>
    <n v="192"/>
    <m/>
    <s v="Saul Galvan / Angel Bereche / Necineida Quispe"/>
    <n v="20"/>
    <n v="200"/>
    <m/>
    <n v="0"/>
    <n v="0"/>
    <n v="0"/>
    <n v="0"/>
    <m/>
    <m/>
    <n v="3.31"/>
    <e v="#REF!"/>
    <m/>
    <m/>
    <m/>
    <m/>
    <m/>
    <m/>
    <m/>
    <m/>
    <m/>
    <s v="GAL 01 y GAL 02-Vol 19"/>
    <s v="Sin Novedad"/>
  </r>
  <r>
    <n v="20"/>
    <x v="0"/>
    <n v="2024"/>
    <x v="1"/>
    <x v="19"/>
    <s v="GAL 01 y GAL 02"/>
    <n v="20"/>
    <n v="131"/>
    <n v="131"/>
    <m/>
    <m/>
    <n v="146"/>
    <m/>
    <m/>
    <n v="146"/>
    <m/>
    <x v="4"/>
    <m/>
    <n v="174"/>
    <m/>
    <s v="Saul Galvan / Angel Bereche / Necineida Quispe"/>
    <n v="17"/>
    <n v="200"/>
    <m/>
    <n v="0"/>
    <n v="0"/>
    <n v="0"/>
    <n v="0"/>
    <m/>
    <m/>
    <n v="3.04"/>
    <e v="#REF!"/>
    <m/>
    <m/>
    <m/>
    <m/>
    <m/>
    <m/>
    <m/>
    <m/>
    <m/>
    <s v="GAL 01 y GAL 02-Vol 20"/>
    <s v="Sin Novedad"/>
  </r>
  <r>
    <n v="21"/>
    <x v="0"/>
    <n v="2024"/>
    <x v="1"/>
    <x v="20"/>
    <s v="GAL 01 y GAL 02"/>
    <n v="21"/>
    <n v="130"/>
    <n v="130"/>
    <m/>
    <m/>
    <n v="146"/>
    <m/>
    <m/>
    <n v="146"/>
    <m/>
    <x v="5"/>
    <m/>
    <n v="162"/>
    <m/>
    <s v="Saul Galvan / Angel Bereche / Necineida Quispe"/>
    <n v="16"/>
    <n v="200"/>
    <m/>
    <n v="0"/>
    <n v="0"/>
    <n v="0"/>
    <n v="0"/>
    <m/>
    <m/>
    <n v="3.28"/>
    <e v="#REF!"/>
    <m/>
    <m/>
    <m/>
    <m/>
    <m/>
    <m/>
    <m/>
    <m/>
    <m/>
    <s v="GAL 01 y GAL 02-Vol 21"/>
    <s v="Sin Novedad"/>
  </r>
  <r>
    <n v="22"/>
    <x v="0"/>
    <n v="2024"/>
    <x v="1"/>
    <x v="21"/>
    <s v="GAL 01 y GAL 02"/>
    <n v="22"/>
    <n v="134"/>
    <n v="134"/>
    <m/>
    <m/>
    <n v="151"/>
    <m/>
    <m/>
    <n v="151"/>
    <m/>
    <x v="6"/>
    <m/>
    <n v="163"/>
    <m/>
    <s v="Paul Lovaton / Angel Bereche / Junior Bonilla"/>
    <n v="20"/>
    <n v="200"/>
    <m/>
    <n v="0"/>
    <n v="0"/>
    <n v="0"/>
    <n v="0"/>
    <m/>
    <m/>
    <n v="3.04"/>
    <e v="#REF!"/>
    <m/>
    <m/>
    <m/>
    <m/>
    <m/>
    <m/>
    <m/>
    <m/>
    <m/>
    <s v="GAL 01 y GAL 02-Vol 22"/>
    <s v="Sin Novedad"/>
  </r>
  <r>
    <n v="23"/>
    <x v="0"/>
    <n v="2024"/>
    <x v="1"/>
    <x v="22"/>
    <s v="GAL 01 y GAL 02"/>
    <n v="23"/>
    <n v="151"/>
    <n v="151"/>
    <m/>
    <m/>
    <n v="151"/>
    <m/>
    <m/>
    <n v="151"/>
    <m/>
    <x v="6"/>
    <m/>
    <n v="169"/>
    <m/>
    <s v="Paul Lovaton / Necineida Quispe / Junior Bonilla"/>
    <n v="20"/>
    <n v="200"/>
    <m/>
    <n v="0"/>
    <n v="0"/>
    <n v="0"/>
    <n v="0"/>
    <m/>
    <m/>
    <n v="3.66"/>
    <e v="#REF!"/>
    <m/>
    <m/>
    <m/>
    <m/>
    <m/>
    <m/>
    <m/>
    <m/>
    <m/>
    <s v="GAL 01 y GAL 02-Vol 23"/>
    <s v="Sin Novedad"/>
  </r>
  <r>
    <n v="24"/>
    <x v="0"/>
    <n v="2024"/>
    <x v="1"/>
    <x v="23"/>
    <s v="GAL 01 y GAL 02"/>
    <n v="24"/>
    <n v="149"/>
    <n v="149"/>
    <m/>
    <m/>
    <n v="149"/>
    <m/>
    <m/>
    <n v="149"/>
    <m/>
    <x v="6"/>
    <m/>
    <n v="163"/>
    <m/>
    <s v="Paul Lovaton / Angel Bereche / Junior Bonilla"/>
    <n v="20"/>
    <n v="200"/>
    <m/>
    <n v="0"/>
    <n v="0"/>
    <n v="0"/>
    <n v="0"/>
    <m/>
    <m/>
    <n v="3.39"/>
    <e v="#REF!"/>
    <m/>
    <m/>
    <m/>
    <m/>
    <m/>
    <m/>
    <m/>
    <m/>
    <m/>
    <s v="GAL 01 y GAL 02-Vol 24"/>
    <s v="Sin Novedad"/>
  </r>
  <r>
    <n v="25"/>
    <x v="0"/>
    <n v="2024"/>
    <x v="1"/>
    <x v="24"/>
    <s v="GAL 01 y GAL 02"/>
    <n v="25"/>
    <n v="151"/>
    <n v="151"/>
    <m/>
    <m/>
    <n v="151"/>
    <m/>
    <m/>
    <n v="151"/>
    <m/>
    <x v="6"/>
    <m/>
    <n v="163"/>
    <m/>
    <s v="Paul Lovaton / Necineida Quispe / Junior Bonilla"/>
    <n v="20"/>
    <n v="200"/>
    <m/>
    <n v="0"/>
    <n v="0"/>
    <n v="0"/>
    <n v="0"/>
    <m/>
    <m/>
    <n v="3.69"/>
    <e v="#REF!"/>
    <m/>
    <m/>
    <m/>
    <m/>
    <m/>
    <m/>
    <m/>
    <m/>
    <m/>
    <s v="GAL 01 y GAL 02-Vol 25"/>
    <s v="Sin Novedad"/>
  </r>
  <r>
    <n v="26"/>
    <x v="0"/>
    <n v="2024"/>
    <x v="1"/>
    <x v="25"/>
    <s v="GAL 01 y GAL 02"/>
    <n v="26"/>
    <n v="150"/>
    <n v="150"/>
    <m/>
    <m/>
    <n v="150"/>
    <m/>
    <m/>
    <n v="150"/>
    <m/>
    <x v="7"/>
    <m/>
    <n v="207"/>
    <m/>
    <s v="Paul Lovaton / Necineida Quispe / Junior Bonilla"/>
    <n v="20"/>
    <n v="200"/>
    <m/>
    <n v="0"/>
    <n v="0"/>
    <n v="0"/>
    <n v="0"/>
    <m/>
    <m/>
    <n v="3.43"/>
    <e v="#REF!"/>
    <m/>
    <m/>
    <m/>
    <m/>
    <m/>
    <m/>
    <m/>
    <m/>
    <m/>
    <s v="GAL 01 y GAL 02-Vol 26"/>
    <s v="Sin Novedad"/>
  </r>
  <r>
    <n v="27"/>
    <x v="0"/>
    <n v="2024"/>
    <x v="1"/>
    <x v="26"/>
    <s v="GAL 01 y GAL 02"/>
    <n v="27"/>
    <n v="151"/>
    <n v="151"/>
    <m/>
    <m/>
    <n v="151"/>
    <m/>
    <m/>
    <n v="151"/>
    <m/>
    <x v="8"/>
    <m/>
    <n v="211"/>
    <m/>
    <s v="Paul Lovaton / Necineida Quispe / Junior Bonilla"/>
    <n v="20"/>
    <n v="200"/>
    <m/>
    <n v="0"/>
    <n v="0"/>
    <n v="0"/>
    <n v="0"/>
    <m/>
    <m/>
    <n v="3.45"/>
    <e v="#REF!"/>
    <m/>
    <m/>
    <m/>
    <m/>
    <m/>
    <m/>
    <m/>
    <m/>
    <m/>
    <s v="GAL 01 y GAL 02-Vol 27"/>
    <s v="Sin Novedad"/>
  </r>
  <r>
    <n v="28"/>
    <x v="0"/>
    <n v="2024"/>
    <x v="1"/>
    <x v="27"/>
    <s v="GAL 01 y GAL 02"/>
    <n v="28"/>
    <n v="149"/>
    <n v="149"/>
    <m/>
    <m/>
    <n v="149"/>
    <m/>
    <m/>
    <n v="149"/>
    <m/>
    <x v="9"/>
    <m/>
    <n v="485"/>
    <m/>
    <s v="Paul Lovaton / Necineida Quispe / Junior Bonilla"/>
    <n v="20"/>
    <n v="200"/>
    <m/>
    <n v="0"/>
    <n v="0"/>
    <n v="0"/>
    <n v="0"/>
    <m/>
    <m/>
    <n v="3.46"/>
    <e v="#REF!"/>
    <m/>
    <m/>
    <m/>
    <m/>
    <m/>
    <m/>
    <m/>
    <m/>
    <m/>
    <s v="GAL 01 y GAL 02-Vol 28"/>
    <s v="Sin Novedad"/>
  </r>
  <r>
    <n v="29"/>
    <x v="0"/>
    <n v="2024"/>
    <x v="1"/>
    <x v="28"/>
    <s v="GAL 01 y GAL 02"/>
    <n v="29"/>
    <n v="151"/>
    <n v="151"/>
    <m/>
    <m/>
    <n v="151"/>
    <m/>
    <m/>
    <n v="151"/>
    <m/>
    <x v="10"/>
    <m/>
    <n v="380"/>
    <m/>
    <s v="Paul Lovaton / Necineida Quispe / Junior Bonilla"/>
    <n v="20"/>
    <n v="200"/>
    <m/>
    <n v="0"/>
    <n v="0"/>
    <n v="0"/>
    <n v="0"/>
    <m/>
    <m/>
    <n v="3.43"/>
    <e v="#REF!"/>
    <m/>
    <m/>
    <m/>
    <m/>
    <m/>
    <m/>
    <m/>
    <m/>
    <m/>
    <s v="GAL 01 y GAL 02-Vol 29"/>
    <s v="Sin Novedad"/>
  </r>
  <r>
    <n v="30"/>
    <x v="0"/>
    <n v="2024"/>
    <x v="1"/>
    <x v="29"/>
    <s v="GAL 01 y GAL 02"/>
    <n v="30"/>
    <n v="151"/>
    <n v="151"/>
    <m/>
    <m/>
    <n v="151"/>
    <m/>
    <m/>
    <n v="151"/>
    <m/>
    <x v="6"/>
    <m/>
    <n v="176"/>
    <m/>
    <s v="Paul Lovaton / Necineida Quispe / Junior Bonilla"/>
    <n v="50"/>
    <n v="200"/>
    <m/>
    <n v="0"/>
    <n v="0"/>
    <n v="0"/>
    <n v="0"/>
    <m/>
    <m/>
    <n v="3.46"/>
    <e v="#REF!"/>
    <m/>
    <m/>
    <m/>
    <m/>
    <m/>
    <m/>
    <m/>
    <m/>
    <m/>
    <s v="GAL 01 y GAL 02-Vol 30"/>
    <s v="Sin Novedad"/>
  </r>
  <r>
    <n v="31"/>
    <x v="0"/>
    <n v="2024"/>
    <x v="1"/>
    <x v="30"/>
    <s v="GAL 01 y GAL 02"/>
    <n v="31"/>
    <n v="151"/>
    <n v="151"/>
    <m/>
    <m/>
    <n v="151"/>
    <m/>
    <m/>
    <n v="151"/>
    <m/>
    <x v="11"/>
    <m/>
    <n v="164"/>
    <m/>
    <s v="Saul Galvan / Angel Bereche / Necineida Quispe / Junior Bonilla"/>
    <n v="50"/>
    <n v="200"/>
    <m/>
    <n v="0"/>
    <n v="0"/>
    <n v="0"/>
    <n v="0"/>
    <m/>
    <m/>
    <n v="3.45"/>
    <e v="#REF!"/>
    <m/>
    <m/>
    <m/>
    <m/>
    <m/>
    <m/>
    <m/>
    <m/>
    <m/>
    <s v="GAL 01 y GAL 02-Vol 31"/>
    <s v="Sin Novedad"/>
  </r>
  <r>
    <n v="32"/>
    <x v="0"/>
    <n v="2024"/>
    <x v="1"/>
    <x v="31"/>
    <s v="GAL 01 y GAL 02"/>
    <n v="32"/>
    <n v="147"/>
    <n v="147"/>
    <m/>
    <m/>
    <n v="163"/>
    <m/>
    <m/>
    <n v="163"/>
    <m/>
    <x v="11"/>
    <m/>
    <n v="160"/>
    <m/>
    <s v="Saul Galvan / Angel Bereche / Necineida Quispe / Alvino Fabian"/>
    <n v="60"/>
    <n v="200"/>
    <m/>
    <n v="0"/>
    <n v="0"/>
    <n v="0"/>
    <n v="0"/>
    <m/>
    <m/>
    <n v="3.45"/>
    <e v="#REF!"/>
    <m/>
    <m/>
    <m/>
    <m/>
    <m/>
    <m/>
    <m/>
    <m/>
    <m/>
    <s v="GAL 01 y GAL 02-Vol 32"/>
    <s v="Sin Novedad"/>
  </r>
  <r>
    <n v="33"/>
    <x v="0"/>
    <n v="2024"/>
    <x v="1"/>
    <x v="32"/>
    <s v="GAL 01 y GAL 02"/>
    <n v="33"/>
    <n v="148"/>
    <n v="148"/>
    <m/>
    <m/>
    <n v="159"/>
    <m/>
    <m/>
    <n v="159"/>
    <m/>
    <x v="11"/>
    <m/>
    <n v="160"/>
    <m/>
    <s v="Saul Galvan / Angel Bereche / Alvino Fabian"/>
    <n v="60"/>
    <n v="200"/>
    <m/>
    <n v="0"/>
    <n v="0"/>
    <n v="0"/>
    <n v="0"/>
    <m/>
    <n v="1"/>
    <n v="3.5"/>
    <e v="#REF!"/>
    <m/>
    <m/>
    <m/>
    <m/>
    <m/>
    <m/>
    <m/>
    <m/>
    <m/>
    <s v="GAL 01 y GAL 02-Vol 33"/>
    <s v="1 TQ en la corona izquierda"/>
  </r>
  <r>
    <n v="34"/>
    <x v="0"/>
    <n v="2024"/>
    <x v="1"/>
    <x v="33"/>
    <s v="GAL 01 y GAL 02"/>
    <n v="34"/>
    <n v="156"/>
    <n v="156"/>
    <m/>
    <m/>
    <n v="159"/>
    <m/>
    <m/>
    <n v="159"/>
    <m/>
    <x v="12"/>
    <m/>
    <n v="208"/>
    <m/>
    <s v="Saul Galvan / Angel Bereche / Necineida Quispe / Alvino Fabian"/>
    <n v="33"/>
    <n v="200"/>
    <m/>
    <n v="0"/>
    <n v="0"/>
    <n v="0"/>
    <n v="0"/>
    <m/>
    <n v="2"/>
    <n v="3.41"/>
    <e v="#REF!"/>
    <m/>
    <m/>
    <m/>
    <m/>
    <m/>
    <m/>
    <m/>
    <m/>
    <m/>
    <s v="GAL 01 y GAL 02-Vol 34"/>
    <s v="2 TQ en la ayuda del arrastre"/>
  </r>
  <r>
    <s v="SECU."/>
    <x v="0"/>
    <n v="2024"/>
    <x v="1"/>
    <x v="33"/>
    <s v="Voladura secundaria - Eliminación de TQ"/>
    <m/>
    <n v="2"/>
    <n v="2"/>
    <m/>
    <m/>
    <n v="2"/>
    <m/>
    <m/>
    <n v="2"/>
    <m/>
    <x v="0"/>
    <m/>
    <n v="1"/>
    <m/>
    <s v="Saul Galvan / Angel Bereche / Alvino Fabian"/>
    <m/>
    <m/>
    <m/>
    <n v="0"/>
    <n v="0"/>
    <n v="0"/>
    <n v="0"/>
    <m/>
    <m/>
    <n v="3.45"/>
    <e v="#REF!"/>
    <m/>
    <m/>
    <m/>
    <m/>
    <m/>
    <m/>
    <m/>
    <m/>
    <m/>
    <s v="Voladura secundaria - Eliminación de TQ-Vol "/>
    <s v="Voladura secundaria"/>
  </r>
  <r>
    <n v="35"/>
    <x v="0"/>
    <n v="2024"/>
    <x v="1"/>
    <x v="34"/>
    <s v="GAL 01 y GAL 02"/>
    <n v="35"/>
    <n v="154"/>
    <n v="154"/>
    <m/>
    <m/>
    <n v="159"/>
    <m/>
    <m/>
    <n v="159"/>
    <m/>
    <x v="13"/>
    <m/>
    <n v="316"/>
    <m/>
    <s v="Saul Galvan / Angel Bereche / Necineida Quispe / Junior Bonilla"/>
    <n v="55"/>
    <n v="200"/>
    <m/>
    <n v="0"/>
    <n v="0"/>
    <n v="0"/>
    <n v="0"/>
    <m/>
    <m/>
    <n v="3.32"/>
    <e v="#REF!"/>
    <m/>
    <m/>
    <m/>
    <m/>
    <m/>
    <m/>
    <m/>
    <m/>
    <m/>
    <s v="GAL 01 y GAL 02-Vol 35"/>
    <s v="Sin Novedad"/>
  </r>
  <r>
    <n v="36"/>
    <x v="0"/>
    <n v="2024"/>
    <x v="1"/>
    <x v="35"/>
    <s v="GAL 01 y GAL 02"/>
    <n v="36"/>
    <n v="156"/>
    <n v="156"/>
    <m/>
    <m/>
    <n v="151"/>
    <m/>
    <m/>
    <n v="151"/>
    <m/>
    <x v="14"/>
    <m/>
    <n v="332"/>
    <m/>
    <s v="Saul Galvan / Angel Bereche / Junior Bonilla"/>
    <n v="70"/>
    <n v="200"/>
    <m/>
    <n v="0"/>
    <n v="0"/>
    <n v="0"/>
    <n v="0"/>
    <m/>
    <m/>
    <n v="3.63"/>
    <e v="#REF!"/>
    <m/>
    <m/>
    <m/>
    <m/>
    <m/>
    <m/>
    <m/>
    <m/>
    <m/>
    <s v="GAL 01 y GAL 02-Vol 36"/>
    <s v="7 TQ (anillado por falta de carga)"/>
  </r>
  <r>
    <s v="SECU."/>
    <x v="0"/>
    <n v="2024"/>
    <x v="1"/>
    <x v="35"/>
    <s v="GAL 01 y GAL 02"/>
    <m/>
    <n v="7"/>
    <n v="7"/>
    <m/>
    <m/>
    <m/>
    <m/>
    <m/>
    <n v="7"/>
    <m/>
    <x v="0"/>
    <m/>
    <n v="4"/>
    <m/>
    <s v="Saul Galvan / Angel Bereche / Junior Bonilla"/>
    <m/>
    <m/>
    <m/>
    <m/>
    <m/>
    <m/>
    <m/>
    <m/>
    <m/>
    <n v="0.8"/>
    <e v="#REF!"/>
    <m/>
    <m/>
    <m/>
    <m/>
    <m/>
    <m/>
    <m/>
    <m/>
    <m/>
    <s v="GAL 01 y GAL 02-Vol "/>
    <s v="Voladura secundaria"/>
  </r>
  <r>
    <n v="37"/>
    <x v="0"/>
    <n v="2024"/>
    <x v="1"/>
    <x v="36"/>
    <s v="GAL 01 y GAL 02"/>
    <n v="37"/>
    <n v="160"/>
    <n v="160"/>
    <m/>
    <m/>
    <n v="159"/>
    <m/>
    <m/>
    <n v="159"/>
    <m/>
    <x v="15"/>
    <m/>
    <n v="363"/>
    <m/>
    <s v="Saul Galvan / Angel Bereche / Junior Bonilla"/>
    <n v="70"/>
    <n v="200"/>
    <m/>
    <n v="0"/>
    <n v="0"/>
    <n v="0"/>
    <n v="0"/>
    <m/>
    <m/>
    <n v="3.9"/>
    <e v="#REF!"/>
    <m/>
    <m/>
    <m/>
    <m/>
    <m/>
    <m/>
    <m/>
    <m/>
    <m/>
    <s v="GAL 01 y GAL 02-Vol 37"/>
    <s v="Sin Novedad"/>
  </r>
  <r>
    <n v="38"/>
    <x v="0"/>
    <n v="2024"/>
    <x v="1"/>
    <x v="37"/>
    <s v="GAL 01 y GAL 02"/>
    <n v="38"/>
    <n v="162"/>
    <n v="162"/>
    <m/>
    <m/>
    <n v="157"/>
    <m/>
    <m/>
    <n v="157"/>
    <m/>
    <x v="16"/>
    <m/>
    <n v="373"/>
    <m/>
    <s v="Saul Galvan / Angel Bereche / Junior Bonilla"/>
    <n v="70"/>
    <n v="200"/>
    <m/>
    <n v="0"/>
    <n v="0"/>
    <n v="0"/>
    <n v="0"/>
    <m/>
    <m/>
    <n v="3.75"/>
    <e v="#REF!"/>
    <m/>
    <m/>
    <m/>
    <m/>
    <m/>
    <m/>
    <m/>
    <m/>
    <m/>
    <s v="GAL 01 y GAL 02-Vol 38"/>
    <s v="Sin Novedad"/>
  </r>
  <r>
    <n v="39"/>
    <x v="0"/>
    <n v="2024"/>
    <x v="1"/>
    <x v="38"/>
    <s v="GAL 01 y GAL 02"/>
    <n v="39"/>
    <n v="151"/>
    <n v="151"/>
    <m/>
    <m/>
    <n v="157"/>
    <m/>
    <m/>
    <n v="157"/>
    <m/>
    <x v="17"/>
    <m/>
    <n v="301"/>
    <m/>
    <s v="Saul Galvan / Angel Bereche / Junior Bonilla"/>
    <n v="35"/>
    <n v="200"/>
    <m/>
    <n v="0"/>
    <n v="0"/>
    <n v="0"/>
    <n v="0"/>
    <m/>
    <m/>
    <n v="3.7"/>
    <e v="#REF!"/>
    <m/>
    <m/>
    <m/>
    <m/>
    <m/>
    <m/>
    <m/>
    <m/>
    <m/>
    <s v="GAL 01 y GAL 02-Vol 39"/>
    <s v="Sin Novedad"/>
  </r>
  <r>
    <n v="40"/>
    <x v="0"/>
    <n v="2024"/>
    <x v="1"/>
    <x v="38"/>
    <s v="GAL 01 y GAL 02"/>
    <n v="40"/>
    <n v="114"/>
    <n v="114"/>
    <m/>
    <m/>
    <n v="157"/>
    <m/>
    <m/>
    <n v="157"/>
    <m/>
    <x v="18"/>
    <m/>
    <n v="378"/>
    <m/>
    <s v="Alvino Fabian / Angel Bereche / Junior Bonilla"/>
    <n v="72"/>
    <n v="200"/>
    <m/>
    <n v="0"/>
    <n v="0"/>
    <n v="0"/>
    <n v="0"/>
    <m/>
    <m/>
    <n v="2.8"/>
    <e v="#REF!"/>
    <m/>
    <m/>
    <m/>
    <m/>
    <m/>
    <m/>
    <m/>
    <m/>
    <m/>
    <s v="GAL 01 y GAL 02-Vol 40"/>
    <s v="Sin Novedad"/>
  </r>
  <r>
    <n v="41"/>
    <x v="0"/>
    <n v="2024"/>
    <x v="2"/>
    <x v="39"/>
    <s v="GAL 01 y GAL 02"/>
    <n v="41"/>
    <n v="177"/>
    <n v="177"/>
    <m/>
    <m/>
    <n v="172"/>
    <m/>
    <m/>
    <n v="172"/>
    <m/>
    <x v="19"/>
    <m/>
    <n v="472"/>
    <m/>
    <s v="Alvino Fabian / Angel Bereche ( Junior Bonilla"/>
    <n v="28"/>
    <n v="200"/>
    <m/>
    <n v="0"/>
    <n v="0"/>
    <n v="0"/>
    <n v="0"/>
    <m/>
    <m/>
    <n v="4.2"/>
    <e v="#REF!"/>
    <m/>
    <m/>
    <m/>
    <m/>
    <m/>
    <m/>
    <m/>
    <m/>
    <m/>
    <s v="GAL 01 y GAL 02-Vol 41"/>
    <s v="Sin Novedad"/>
  </r>
  <r>
    <n v="42"/>
    <x v="0"/>
    <n v="2024"/>
    <x v="2"/>
    <x v="40"/>
    <s v="GAL 01 y GAL 02"/>
    <n v="42"/>
    <n v="151"/>
    <n v="151"/>
    <m/>
    <m/>
    <n v="150"/>
    <m/>
    <m/>
    <n v="150"/>
    <m/>
    <x v="20"/>
    <m/>
    <n v="350"/>
    <m/>
    <s v="Alvino Fabian / Angel Bereche / Junior Bonilla / Americo Panebra"/>
    <n v="56"/>
    <n v="200"/>
    <m/>
    <n v="0"/>
    <n v="0"/>
    <n v="0"/>
    <n v="0"/>
    <m/>
    <m/>
    <n v="3.45"/>
    <e v="#REF!"/>
    <m/>
    <m/>
    <m/>
    <m/>
    <m/>
    <m/>
    <m/>
    <m/>
    <m/>
    <s v="GAL 01 y GAL 02-Vol 42"/>
    <s v="Sin Novedad"/>
  </r>
  <r>
    <n v="43"/>
    <x v="0"/>
    <n v="2024"/>
    <x v="2"/>
    <x v="40"/>
    <s v="GAL 01 y GAL 02"/>
    <n v="43"/>
    <n v="167"/>
    <n v="167"/>
    <m/>
    <m/>
    <n v="161"/>
    <m/>
    <m/>
    <n v="161"/>
    <m/>
    <x v="21"/>
    <m/>
    <n v="551"/>
    <m/>
    <s v="Alvino Fabian / Angel Bereche / Junior Bonilla / Americo Panebra"/>
    <n v="74"/>
    <n v="200"/>
    <m/>
    <n v="0"/>
    <n v="0"/>
    <n v="0"/>
    <n v="0"/>
    <m/>
    <m/>
    <n v="3.8"/>
    <e v="#REF!"/>
    <m/>
    <m/>
    <m/>
    <m/>
    <m/>
    <m/>
    <m/>
    <m/>
    <m/>
    <s v="GAL 01 y GAL 02-Vol 43"/>
    <s v="Sin Novedad"/>
  </r>
  <r>
    <n v="44"/>
    <x v="0"/>
    <n v="2024"/>
    <x v="2"/>
    <x v="41"/>
    <s v="GAL 01 y GAL 02"/>
    <n v="44"/>
    <n v="170"/>
    <n v="170"/>
    <m/>
    <m/>
    <n v="165"/>
    <n v="5"/>
    <n v="0"/>
    <n v="170"/>
    <m/>
    <x v="22"/>
    <m/>
    <n v="570"/>
    <m/>
    <s v="Alvino Fabian / Junior Bonilla / Americo Panebra"/>
    <n v="80"/>
    <n v="200"/>
    <m/>
    <n v="0"/>
    <n v="0"/>
    <n v="0"/>
    <n v="0"/>
    <m/>
    <m/>
    <n v="3.9"/>
    <e v="#REF!"/>
    <m/>
    <m/>
    <m/>
    <m/>
    <m/>
    <m/>
    <m/>
    <m/>
    <m/>
    <s v="GAL 01 y GAL 02-Vol 44"/>
    <m/>
  </r>
  <r>
    <n v="45"/>
    <x v="0"/>
    <n v="2024"/>
    <x v="2"/>
    <x v="42"/>
    <s v="GAL 01 y GAL 02"/>
    <n v="45"/>
    <n v="180"/>
    <n v="180"/>
    <m/>
    <m/>
    <n v="175"/>
    <n v="5"/>
    <n v="0"/>
    <n v="180"/>
    <m/>
    <x v="23"/>
    <m/>
    <n v="616"/>
    <m/>
    <s v="Necineida Quispe / Junior Bonilla / Americo Panebra"/>
    <n v="91"/>
    <n v="200"/>
    <m/>
    <n v="0"/>
    <n v="0"/>
    <n v="0"/>
    <n v="0"/>
    <m/>
    <m/>
    <n v="4.03"/>
    <e v="#REF!"/>
    <m/>
    <m/>
    <m/>
    <m/>
    <m/>
    <m/>
    <m/>
    <m/>
    <m/>
    <s v="GAL 01 y GAL 02-Vol 45"/>
    <m/>
  </r>
  <r>
    <n v="46"/>
    <x v="0"/>
    <n v="2024"/>
    <x v="2"/>
    <x v="43"/>
    <s v="GAL 01 y GAL 02"/>
    <n v="46"/>
    <n v="180"/>
    <n v="180"/>
    <m/>
    <m/>
    <n v="175"/>
    <n v="5"/>
    <n v="0"/>
    <n v="180"/>
    <m/>
    <x v="24"/>
    <m/>
    <n v="626"/>
    <m/>
    <s v="Necineida Quispe / Junior Bonilla / Americo Panebra"/>
    <n v="120"/>
    <n v="200"/>
    <m/>
    <n v="0"/>
    <n v="0"/>
    <n v="0"/>
    <n v="0"/>
    <m/>
    <m/>
    <n v="4.03"/>
    <e v="#REF!"/>
    <m/>
    <m/>
    <m/>
    <m/>
    <m/>
    <m/>
    <m/>
    <m/>
    <m/>
    <s v="GAL 01 y GAL 02-Vol 46"/>
    <m/>
  </r>
  <r>
    <n v="47"/>
    <x v="0"/>
    <n v="2024"/>
    <x v="2"/>
    <x v="44"/>
    <s v="GAL 01 y GAL 02"/>
    <n v="47"/>
    <n v="170"/>
    <n v="170"/>
    <m/>
    <m/>
    <n v="170"/>
    <n v="0"/>
    <n v="0"/>
    <n v="170"/>
    <m/>
    <x v="25"/>
    <m/>
    <n v="376"/>
    <m/>
    <s v="Necineida Quispe / Junior Bonilla / Americo Panebra"/>
    <n v="51"/>
    <n v="200"/>
    <m/>
    <n v="0"/>
    <n v="0"/>
    <n v="0"/>
    <n v="0"/>
    <m/>
    <m/>
    <n v="4.0999999999999996"/>
    <e v="#REF!"/>
    <m/>
    <m/>
    <m/>
    <m/>
    <m/>
    <m/>
    <m/>
    <m/>
    <m/>
    <s v="GAL 01 y GAL 02-Vol 47"/>
    <m/>
  </r>
  <r>
    <s v="SECU."/>
    <x v="0"/>
    <n v="2024"/>
    <x v="2"/>
    <x v="44"/>
    <s v="GAL 01 y GAL 02"/>
    <m/>
    <n v="1"/>
    <n v="1"/>
    <m/>
    <m/>
    <n v="0"/>
    <n v="0"/>
    <n v="0"/>
    <n v="0"/>
    <m/>
    <x v="9"/>
    <m/>
    <n v="0"/>
    <m/>
    <s v="Necineida Quispe / Junior Bonilla / Americo Panebra"/>
    <m/>
    <m/>
    <m/>
    <m/>
    <m/>
    <m/>
    <m/>
    <m/>
    <n v="2"/>
    <n v="4.1500000000000004"/>
    <e v="#REF!"/>
    <m/>
    <m/>
    <m/>
    <m/>
    <m/>
    <m/>
    <m/>
    <m/>
    <m/>
    <s v="GAL 01 y GAL 02-Vol "/>
    <s v="(Queda 01 TQ en un taladro cargado)"/>
  </r>
  <r>
    <n v="48"/>
    <x v="0"/>
    <n v="2024"/>
    <x v="2"/>
    <x v="44"/>
    <s v="GAL 01 y GAL 02"/>
    <n v="48"/>
    <n v="184"/>
    <n v="184"/>
    <m/>
    <m/>
    <n v="179"/>
    <n v="5"/>
    <n v="0"/>
    <n v="184"/>
    <m/>
    <x v="26"/>
    <m/>
    <n v="469"/>
    <m/>
    <s v="Necineida Quispe / Junior Bonilla / Americo Panebra / Mariano Silva"/>
    <n v="80"/>
    <n v="200"/>
    <m/>
    <n v="0"/>
    <n v="0"/>
    <n v="0"/>
    <n v="0"/>
    <m/>
    <m/>
    <n v="4.04"/>
    <e v="#REF!"/>
    <m/>
    <m/>
    <m/>
    <m/>
    <m/>
    <m/>
    <m/>
    <m/>
    <m/>
    <s v="GAL 01 y GAL 02-Vol 48"/>
    <s v="Sin Novedad"/>
  </r>
  <r>
    <n v="49"/>
    <x v="0"/>
    <n v="2024"/>
    <x v="2"/>
    <x v="45"/>
    <s v="GAL 01 y GAL 02"/>
    <n v="49"/>
    <n v="179"/>
    <n v="179"/>
    <m/>
    <m/>
    <n v="174"/>
    <n v="5"/>
    <n v="0"/>
    <n v="179"/>
    <m/>
    <x v="27"/>
    <m/>
    <n v="477"/>
    <m/>
    <s v="Necineida Quispe / Junior Bonilla / Americo Panebra "/>
    <n v="68"/>
    <n v="200"/>
    <m/>
    <n v="0"/>
    <n v="0"/>
    <n v="0"/>
    <n v="0"/>
    <m/>
    <m/>
    <n v="4.0999999999999996"/>
    <e v="#REF!"/>
    <m/>
    <m/>
    <m/>
    <m/>
    <m/>
    <m/>
    <m/>
    <m/>
    <m/>
    <s v="GAL 01 y GAL 02-Vol 49"/>
    <s v="Sin Novedad"/>
  </r>
  <r>
    <n v="50"/>
    <x v="0"/>
    <n v="2024"/>
    <x v="2"/>
    <x v="45"/>
    <s v="GAL 01 y GAL 02"/>
    <n v="50"/>
    <n v="173"/>
    <n v="173"/>
    <m/>
    <m/>
    <n v="173"/>
    <n v="0"/>
    <n v="0"/>
    <n v="173"/>
    <m/>
    <x v="28"/>
    <m/>
    <n v="445"/>
    <m/>
    <s v="Necineida Quispe / Junior Bonilla / Americo Panebra"/>
    <n v="70"/>
    <n v="200"/>
    <m/>
    <n v="0"/>
    <n v="0"/>
    <n v="0"/>
    <n v="0"/>
    <m/>
    <m/>
    <n v="4.05"/>
    <e v="#REF!"/>
    <m/>
    <m/>
    <m/>
    <m/>
    <m/>
    <m/>
    <m/>
    <m/>
    <m/>
    <s v="GAL 01 y GAL 02-Vol 50"/>
    <s v="Sin Novedad"/>
  </r>
  <r>
    <n v="51"/>
    <x v="0"/>
    <n v="2024"/>
    <x v="2"/>
    <x v="46"/>
    <s v="GAL 01 y GAL 02"/>
    <n v="51"/>
    <n v="169"/>
    <n v="169"/>
    <m/>
    <m/>
    <n v="164"/>
    <n v="5"/>
    <n v="0"/>
    <n v="169"/>
    <m/>
    <x v="29"/>
    <m/>
    <n v="495"/>
    <m/>
    <s v="Alvino Fabian / Junior Bonilla / Necineida Quispe"/>
    <n v="65"/>
    <n v="200"/>
    <m/>
    <n v="0"/>
    <n v="0"/>
    <n v="0"/>
    <n v="0"/>
    <m/>
    <m/>
    <n v="4.03"/>
    <e v="#REF!"/>
    <m/>
    <m/>
    <m/>
    <m/>
    <m/>
    <m/>
    <m/>
    <m/>
    <m/>
    <s v="GAL 01 y GAL 02-Vol 51"/>
    <s v="Sin Novedad"/>
  </r>
  <r>
    <n v="52"/>
    <x v="0"/>
    <n v="2024"/>
    <x v="2"/>
    <x v="47"/>
    <s v="GAL 01 y GAL 02"/>
    <n v="52"/>
    <n v="174"/>
    <n v="174"/>
    <m/>
    <m/>
    <n v="169"/>
    <n v="5"/>
    <n v="0"/>
    <n v="174"/>
    <m/>
    <x v="30"/>
    <m/>
    <n v="500"/>
    <m/>
    <s v="Junior Bonilla / Americo Panebra / Gustavo"/>
    <n v="73"/>
    <n v="200"/>
    <m/>
    <n v="0"/>
    <n v="0"/>
    <n v="0"/>
    <n v="0"/>
    <m/>
    <m/>
    <n v="3.98"/>
    <e v="#REF!"/>
    <m/>
    <m/>
    <m/>
    <m/>
    <m/>
    <m/>
    <m/>
    <m/>
    <m/>
    <s v="GAL 01 y GAL 02-Vol 52"/>
    <s v="Sin Novedad"/>
  </r>
  <r>
    <n v="53"/>
    <x v="0"/>
    <n v="2024"/>
    <x v="2"/>
    <x v="48"/>
    <s v="GAL 01 y GAL 02"/>
    <n v="53"/>
    <n v="109"/>
    <n v="109"/>
    <m/>
    <m/>
    <n v="109"/>
    <n v="0"/>
    <n v="0"/>
    <n v="109"/>
    <m/>
    <x v="31"/>
    <m/>
    <n v="257"/>
    <m/>
    <s v="Necineida Quispe / Americo Panebra / Gustavo"/>
    <n v="24"/>
    <n v="200"/>
    <m/>
    <n v="0"/>
    <n v="0"/>
    <n v="0"/>
    <n v="0"/>
    <m/>
    <m/>
    <n v="3.65"/>
    <e v="#REF!"/>
    <m/>
    <m/>
    <m/>
    <m/>
    <m/>
    <m/>
    <m/>
    <m/>
    <m/>
    <s v="GAL 01 y GAL 02-Vol 53"/>
    <s v="Sin Novedad"/>
  </r>
  <r>
    <n v="54"/>
    <x v="0"/>
    <n v="2024"/>
    <x v="2"/>
    <x v="49"/>
    <s v="GAL 01 y GAL 02"/>
    <n v="54"/>
    <n v="147"/>
    <n v="147"/>
    <m/>
    <m/>
    <n v="147"/>
    <m/>
    <m/>
    <n v="147"/>
    <m/>
    <x v="6"/>
    <m/>
    <n v="138"/>
    <m/>
    <s v="Saul Galvan / Angel Bereche / Wilber Huamaní"/>
    <n v="30"/>
    <n v="200"/>
    <m/>
    <n v="0"/>
    <n v="0"/>
    <n v="0"/>
    <n v="0"/>
    <m/>
    <m/>
    <n v="3.4"/>
    <e v="#REF!"/>
    <m/>
    <m/>
    <m/>
    <m/>
    <m/>
    <m/>
    <m/>
    <m/>
    <m/>
    <s v="GAL 01 y GAL 02-Vol 54"/>
    <s v="Sin Novedad"/>
  </r>
  <r>
    <n v="55"/>
    <x v="0"/>
    <n v="2024"/>
    <x v="2"/>
    <x v="49"/>
    <s v="GAL 01 y GAL 02"/>
    <n v="55"/>
    <n v="150"/>
    <n v="150"/>
    <m/>
    <m/>
    <n v="150"/>
    <m/>
    <m/>
    <n v="150"/>
    <m/>
    <x v="32"/>
    <m/>
    <n v="237"/>
    <m/>
    <s v="Saul Galvan / Angel Bereche / Wilber Huamaní"/>
    <n v="40"/>
    <n v="200"/>
    <m/>
    <n v="0"/>
    <n v="0"/>
    <n v="0"/>
    <n v="0"/>
    <m/>
    <m/>
    <n v="3.47"/>
    <e v="#REF!"/>
    <m/>
    <m/>
    <m/>
    <m/>
    <m/>
    <m/>
    <m/>
    <m/>
    <m/>
    <s v="GAL 01 y GAL 02-Vol 55"/>
    <s v="Sin Novedad"/>
  </r>
  <r>
    <n v="56"/>
    <x v="0"/>
    <n v="2024"/>
    <x v="2"/>
    <x v="50"/>
    <s v="GAL 01 y GAL 02"/>
    <n v="56"/>
    <n v="148"/>
    <n v="148"/>
    <m/>
    <m/>
    <n v="148"/>
    <m/>
    <m/>
    <n v="148"/>
    <m/>
    <x v="33"/>
    <m/>
    <n v="240"/>
    <m/>
    <s v="Saul Galvan / Angel Bereche / Wilber Huamaní"/>
    <n v="31"/>
    <n v="200"/>
    <m/>
    <n v="0"/>
    <n v="0"/>
    <n v="0"/>
    <n v="0"/>
    <m/>
    <m/>
    <n v="3.35"/>
    <e v="#REF!"/>
    <m/>
    <m/>
    <m/>
    <m/>
    <m/>
    <m/>
    <m/>
    <m/>
    <m/>
    <s v="GAL 01 y GAL 02-Vol 56"/>
    <s v="Sin Novedad"/>
  </r>
  <r>
    <n v="57"/>
    <x v="0"/>
    <n v="2024"/>
    <x v="2"/>
    <x v="50"/>
    <s v="Desquinche"/>
    <n v="57"/>
    <n v="68"/>
    <n v="68"/>
    <m/>
    <m/>
    <n v="68"/>
    <m/>
    <m/>
    <n v="68"/>
    <m/>
    <x v="34"/>
    <m/>
    <n v="107"/>
    <m/>
    <s v="Saul Galvan / Angel Bereche / Wilber Huamaní"/>
    <n v="8"/>
    <n v="200"/>
    <m/>
    <n v="0"/>
    <n v="0"/>
    <n v="0"/>
    <n v="0"/>
    <m/>
    <m/>
    <n v="1.83"/>
    <e v="#REF!"/>
    <m/>
    <m/>
    <m/>
    <m/>
    <m/>
    <m/>
    <m/>
    <m/>
    <m/>
    <s v="Desquinche-Vol 57"/>
    <s v="Sin Novedad"/>
  </r>
  <r>
    <n v="58"/>
    <x v="0"/>
    <n v="2024"/>
    <x v="2"/>
    <x v="51"/>
    <s v="Túnel completo"/>
    <n v="58"/>
    <n v="130"/>
    <n v="130"/>
    <m/>
    <m/>
    <n v="125"/>
    <m/>
    <m/>
    <n v="125"/>
    <m/>
    <x v="35"/>
    <m/>
    <n v="138.5"/>
    <m/>
    <s v="Saul Galvan / Angel Bereche / Wilber Huamaní"/>
    <n v="23"/>
    <n v="200"/>
    <m/>
    <n v="0"/>
    <n v="0"/>
    <n v="0"/>
    <n v="0"/>
    <m/>
    <m/>
    <n v="3.3"/>
    <e v="#REF!"/>
    <m/>
    <m/>
    <m/>
    <m/>
    <m/>
    <m/>
    <m/>
    <m/>
    <m/>
    <s v="Túnel completo-Vol 58"/>
    <s v="Sin Novedad"/>
  </r>
  <r>
    <n v="59"/>
    <x v="0"/>
    <n v="2024"/>
    <x v="2"/>
    <x v="51"/>
    <s v="Túnel completo"/>
    <n v="59"/>
    <n v="155"/>
    <n v="155"/>
    <m/>
    <m/>
    <n v="155"/>
    <m/>
    <m/>
    <n v="155"/>
    <m/>
    <x v="36"/>
    <m/>
    <n v="180"/>
    <m/>
    <s v="Saul Galvan / Angel Bereche / Wilber Huamaní"/>
    <n v="6"/>
    <n v="200"/>
    <m/>
    <n v="0"/>
    <n v="0"/>
    <n v="0"/>
    <n v="0"/>
    <m/>
    <n v="3"/>
    <n v="3.55"/>
    <e v="#REF!"/>
    <m/>
    <m/>
    <m/>
    <m/>
    <m/>
    <m/>
    <m/>
    <m/>
    <m/>
    <s v="Túnel completo-Vol 59"/>
    <s v="3 TQ"/>
  </r>
  <r>
    <n v="60"/>
    <x v="0"/>
    <n v="2024"/>
    <x v="2"/>
    <x v="52"/>
    <s v="Túnel completo"/>
    <n v="60"/>
    <n v="147"/>
    <n v="147"/>
    <m/>
    <m/>
    <n v="147"/>
    <m/>
    <m/>
    <n v="147"/>
    <m/>
    <x v="37"/>
    <m/>
    <n v="161"/>
    <m/>
    <s v="Junior Bonilla /Américo Panebra / Angel Bereche"/>
    <n v="9"/>
    <n v="200"/>
    <m/>
    <n v="0"/>
    <n v="0"/>
    <n v="0"/>
    <n v="0"/>
    <m/>
    <n v="1"/>
    <n v="3.43"/>
    <e v="#REF!"/>
    <m/>
    <m/>
    <m/>
    <m/>
    <m/>
    <m/>
    <m/>
    <m/>
    <m/>
    <s v="Túnel completo-Vol 60"/>
    <s v="1 TQ en la ayuda corona izquierda"/>
  </r>
  <r>
    <n v="61"/>
    <x v="0"/>
    <n v="2024"/>
    <x v="2"/>
    <x v="52"/>
    <s v="Túnel completo"/>
    <n v="61"/>
    <n v="156"/>
    <n v="156"/>
    <m/>
    <m/>
    <n v="156"/>
    <m/>
    <m/>
    <n v="156"/>
    <m/>
    <x v="38"/>
    <m/>
    <n v="188"/>
    <m/>
    <s v="Junior Bonilla /Américo Panebra / Wilber Huamani"/>
    <n v="21"/>
    <n v="200"/>
    <m/>
    <n v="0"/>
    <n v="0"/>
    <n v="0"/>
    <n v="0"/>
    <m/>
    <m/>
    <n v="3.56"/>
    <e v="#REF!"/>
    <m/>
    <m/>
    <m/>
    <m/>
    <m/>
    <m/>
    <m/>
    <m/>
    <m/>
    <s v="Túnel completo-Vol 61"/>
    <s v="Sin Novedad"/>
  </r>
  <r>
    <n v="62"/>
    <x v="0"/>
    <n v="2024"/>
    <x v="2"/>
    <x v="53"/>
    <s v="Túnel completo"/>
    <n v="62"/>
    <n v="148"/>
    <n v="148"/>
    <m/>
    <m/>
    <n v="148"/>
    <m/>
    <m/>
    <n v="148"/>
    <m/>
    <x v="39"/>
    <m/>
    <n v="169"/>
    <m/>
    <s v="Junior Bonilla /Américo Panebra / Wilber Huamani"/>
    <n v="13"/>
    <n v="200"/>
    <m/>
    <n v="0"/>
    <n v="0"/>
    <n v="0"/>
    <n v="0"/>
    <m/>
    <m/>
    <n v="3.45"/>
    <e v="#REF!"/>
    <m/>
    <m/>
    <m/>
    <m/>
    <m/>
    <m/>
    <m/>
    <m/>
    <m/>
    <s v="Túnel completo-Vol 62"/>
    <s v="Sin Novedad"/>
  </r>
  <r>
    <n v="63"/>
    <x v="0"/>
    <n v="2024"/>
    <x v="2"/>
    <x v="53"/>
    <s v="Túnel completo"/>
    <n v="63"/>
    <n v="159"/>
    <n v="159"/>
    <m/>
    <m/>
    <n v="159"/>
    <m/>
    <m/>
    <n v="159"/>
    <m/>
    <x v="40"/>
    <m/>
    <n v="248"/>
    <m/>
    <s v="Junior Bonilla / Necineida Quispe /Alvino Fabián"/>
    <n v="35"/>
    <n v="200"/>
    <m/>
    <n v="0"/>
    <n v="0"/>
    <n v="0"/>
    <n v="0"/>
    <m/>
    <m/>
    <n v="3.6"/>
    <e v="#REF!"/>
    <m/>
    <m/>
    <m/>
    <m/>
    <m/>
    <m/>
    <m/>
    <m/>
    <m/>
    <s v="Túnel completo-Vol 63"/>
    <s v="Sin Novedad"/>
  </r>
  <r>
    <n v="64"/>
    <x v="0"/>
    <n v="2024"/>
    <x v="2"/>
    <x v="54"/>
    <s v="Túnel completo"/>
    <n v="64"/>
    <n v="145"/>
    <n v="145"/>
    <m/>
    <m/>
    <n v="145"/>
    <m/>
    <m/>
    <n v="145"/>
    <m/>
    <x v="41"/>
    <m/>
    <n v="214"/>
    <m/>
    <s v="Necineida Quispe /Américo Panebra / Necineida Quispe"/>
    <n v="18"/>
    <n v="200"/>
    <m/>
    <n v="0"/>
    <n v="0"/>
    <n v="0"/>
    <n v="0"/>
    <m/>
    <m/>
    <n v="3.4"/>
    <e v="#REF!"/>
    <m/>
    <m/>
    <m/>
    <m/>
    <m/>
    <m/>
    <m/>
    <m/>
    <m/>
    <s v="Túnel completo-Vol 64"/>
    <s v="Sin Novedad"/>
  </r>
  <r>
    <n v="65"/>
    <x v="0"/>
    <n v="2024"/>
    <x v="2"/>
    <x v="54"/>
    <s v="Túnel completo"/>
    <n v="65"/>
    <n v="153"/>
    <n v="153"/>
    <m/>
    <m/>
    <n v="153"/>
    <m/>
    <m/>
    <n v="153"/>
    <m/>
    <x v="40"/>
    <m/>
    <n v="235"/>
    <m/>
    <s v="Junior Bonilla/ Américo Panebra/ Wilber Huamani"/>
    <n v="50"/>
    <n v="200"/>
    <m/>
    <n v="0"/>
    <n v="0"/>
    <n v="0"/>
    <n v="0"/>
    <m/>
    <n v="1"/>
    <n v="3.52"/>
    <e v="#REF!"/>
    <m/>
    <m/>
    <m/>
    <m/>
    <m/>
    <m/>
    <m/>
    <m/>
    <m/>
    <s v="Túnel completo-Vol 65"/>
    <s v="1 TQ corona hizquierda"/>
  </r>
  <r>
    <n v="66"/>
    <x v="0"/>
    <n v="2024"/>
    <x v="2"/>
    <x v="55"/>
    <s v="Túnel completo"/>
    <n v="66"/>
    <n v="157"/>
    <n v="157"/>
    <m/>
    <m/>
    <n v="157"/>
    <m/>
    <m/>
    <n v="157"/>
    <m/>
    <x v="42"/>
    <m/>
    <n v="257.5"/>
    <m/>
    <s v="Necineida Quispe/ Américo Panebra/ Wilber Huamani"/>
    <n v="29"/>
    <n v="200"/>
    <m/>
    <n v="0"/>
    <n v="0"/>
    <n v="0"/>
    <n v="0"/>
    <m/>
    <m/>
    <n v="3.58"/>
    <e v="#REF!"/>
    <m/>
    <m/>
    <m/>
    <m/>
    <m/>
    <m/>
    <m/>
    <m/>
    <m/>
    <s v="Túnel completo-Vol 66"/>
    <s v="Sin Novedad"/>
  </r>
  <r>
    <n v="67"/>
    <x v="0"/>
    <n v="2024"/>
    <x v="2"/>
    <x v="55"/>
    <s v="Túnel completo"/>
    <n v="67"/>
    <n v="151"/>
    <n v="151"/>
    <m/>
    <m/>
    <n v="151"/>
    <m/>
    <m/>
    <n v="151"/>
    <m/>
    <x v="43"/>
    <m/>
    <n v="297"/>
    <m/>
    <s v="Necineida Quispe/ Américo Panebra/ Junior Bonilla"/>
    <n v="55"/>
    <n v="200"/>
    <m/>
    <n v="0"/>
    <n v="0"/>
    <n v="0"/>
    <n v="0"/>
    <m/>
    <m/>
    <n v="3.5"/>
    <e v="#REF!"/>
    <m/>
    <m/>
    <m/>
    <m/>
    <m/>
    <m/>
    <m/>
    <m/>
    <m/>
    <s v="Túnel completo-Vol 67"/>
    <s v="Sin Novedad"/>
  </r>
  <r>
    <n v="68"/>
    <x v="0"/>
    <n v="2024"/>
    <x v="2"/>
    <x v="56"/>
    <s v="Túnel completo"/>
    <n v="68"/>
    <n v="151"/>
    <n v="151"/>
    <m/>
    <m/>
    <n v="151"/>
    <m/>
    <m/>
    <n v="151"/>
    <m/>
    <x v="44"/>
    <m/>
    <n v="295.5"/>
    <m/>
    <s v="Necineida Quispe /Wilber Huaman / Junior Bonilla"/>
    <n v="39"/>
    <n v="200"/>
    <m/>
    <m/>
    <m/>
    <m/>
    <m/>
    <m/>
    <m/>
    <n v="3.43"/>
    <e v="#REF!"/>
    <m/>
    <m/>
    <m/>
    <m/>
    <m/>
    <m/>
    <m/>
    <m/>
    <m/>
    <s v="Túnel completo-Vol 68"/>
    <m/>
  </r>
  <r>
    <n v="69"/>
    <x v="0"/>
    <n v="2024"/>
    <x v="2"/>
    <x v="56"/>
    <s v="Túnel completo"/>
    <n v="69"/>
    <n v="163"/>
    <n v="163"/>
    <m/>
    <m/>
    <n v="163"/>
    <m/>
    <m/>
    <n v="163"/>
    <m/>
    <x v="45"/>
    <m/>
    <n v="294"/>
    <m/>
    <s v="Necineida Quispe/ Jubior Bonilla/Américo Panebra"/>
    <n v="65"/>
    <n v="200"/>
    <m/>
    <m/>
    <m/>
    <m/>
    <m/>
    <m/>
    <m/>
    <n v="3.56"/>
    <e v="#REF!"/>
    <m/>
    <m/>
    <m/>
    <m/>
    <m/>
    <m/>
    <m/>
    <m/>
    <m/>
    <s v="Túnel completo-Vol 69"/>
    <m/>
  </r>
  <r>
    <n v="70"/>
    <x v="0"/>
    <n v="2024"/>
    <x v="2"/>
    <x v="57"/>
    <s v="Túnel completo"/>
    <n v="70"/>
    <n v="81"/>
    <n v="81"/>
    <m/>
    <m/>
    <n v="81"/>
    <m/>
    <m/>
    <n v="81"/>
    <m/>
    <x v="34"/>
    <m/>
    <n v="119"/>
    <m/>
    <s v="Junior Bonilla / Américo Panebra / Cesar Lozada"/>
    <n v="4"/>
    <n v="200"/>
    <m/>
    <n v="0"/>
    <n v="0"/>
    <n v="0"/>
    <n v="0"/>
    <m/>
    <m/>
    <n v="3.45"/>
    <e v="#REF!"/>
    <m/>
    <m/>
    <m/>
    <m/>
    <m/>
    <m/>
    <m/>
    <m/>
    <m/>
    <s v="Túnel completo-Vol 70"/>
    <m/>
  </r>
  <r>
    <n v="71"/>
    <x v="0"/>
    <n v="2024"/>
    <x v="2"/>
    <x v="57"/>
    <s v="Túnel completo"/>
    <n v="71"/>
    <n v="131"/>
    <n v="131"/>
    <m/>
    <m/>
    <n v="131"/>
    <m/>
    <m/>
    <n v="131"/>
    <m/>
    <x v="46"/>
    <m/>
    <n v="194.5"/>
    <m/>
    <s v="Necineida Quispe / Américo Panebra"/>
    <n v="16"/>
    <n v="200"/>
    <m/>
    <n v="0"/>
    <n v="0"/>
    <n v="0"/>
    <n v="0"/>
    <m/>
    <m/>
    <n v="3.6"/>
    <e v="#REF!"/>
    <m/>
    <m/>
    <m/>
    <m/>
    <m/>
    <m/>
    <m/>
    <m/>
    <m/>
    <s v="Túnel completo-Vol 71"/>
    <m/>
  </r>
  <r>
    <n v="1"/>
    <x v="1"/>
    <n v="2024"/>
    <x v="2"/>
    <x v="57"/>
    <s v="Galería 01"/>
    <n v="1"/>
    <n v="46"/>
    <n v="46"/>
    <m/>
    <m/>
    <n v="46"/>
    <m/>
    <m/>
    <n v="46"/>
    <m/>
    <x v="47"/>
    <m/>
    <n v="14.5"/>
    <m/>
    <s v="Junior Bonilla / Américo Panebra /Cesar Lozada"/>
    <n v="0"/>
    <n v="200"/>
    <m/>
    <m/>
    <m/>
    <m/>
    <m/>
    <m/>
    <m/>
    <n v="3.4"/>
    <e v="#REF!"/>
    <m/>
    <m/>
    <m/>
    <m/>
    <m/>
    <m/>
    <m/>
    <m/>
    <m/>
    <s v="Galería 01-Vol 1"/>
    <m/>
  </r>
  <r>
    <n v="72"/>
    <x v="0"/>
    <n v="2024"/>
    <x v="2"/>
    <x v="58"/>
    <s v="Túnel completo"/>
    <n v="72"/>
    <n v="112"/>
    <n v="112"/>
    <m/>
    <m/>
    <n v="112"/>
    <m/>
    <m/>
    <n v="112"/>
    <m/>
    <x v="48"/>
    <m/>
    <n v="160"/>
    <m/>
    <s v="Junior Bonilla / Américo Panebra/ Gustavo Caballero"/>
    <n v="1"/>
    <n v="200"/>
    <m/>
    <m/>
    <m/>
    <m/>
    <m/>
    <m/>
    <m/>
    <n v="3.52"/>
    <e v="#REF!"/>
    <m/>
    <m/>
    <m/>
    <m/>
    <m/>
    <m/>
    <m/>
    <m/>
    <m/>
    <s v="Túnel completo-Vol 72"/>
    <m/>
  </r>
  <r>
    <n v="2"/>
    <x v="1"/>
    <n v="2024"/>
    <x v="2"/>
    <x v="58"/>
    <s v="Galería 01"/>
    <n v="2"/>
    <n v="54"/>
    <n v="54"/>
    <m/>
    <m/>
    <n v="54"/>
    <m/>
    <m/>
    <n v="54"/>
    <m/>
    <x v="49"/>
    <m/>
    <n v="60"/>
    <m/>
    <s v="Junior Bonilla / Alvino Fabia / Cesar Lozada"/>
    <n v="0"/>
    <n v="200"/>
    <m/>
    <m/>
    <m/>
    <m/>
    <m/>
    <m/>
    <m/>
    <n v="1.56"/>
    <e v="#REF!"/>
    <m/>
    <m/>
    <m/>
    <m/>
    <m/>
    <m/>
    <m/>
    <m/>
    <m/>
    <s v="Galería 01-Vol 2"/>
    <m/>
  </r>
  <r>
    <n v="73"/>
    <x v="0"/>
    <n v="2024"/>
    <x v="2"/>
    <x v="58"/>
    <s v="Túnel completo"/>
    <n v="73"/>
    <n v="151"/>
    <n v="151"/>
    <m/>
    <m/>
    <n v="151"/>
    <m/>
    <m/>
    <n v="151"/>
    <m/>
    <x v="50"/>
    <m/>
    <n v="195"/>
    <m/>
    <s v="Necineida Quispe / Américo Panebra / Gustavo Caballero"/>
    <n v="15"/>
    <n v="200"/>
    <m/>
    <m/>
    <m/>
    <m/>
    <m/>
    <m/>
    <m/>
    <n v="3.58"/>
    <e v="#REF!"/>
    <m/>
    <m/>
    <m/>
    <m/>
    <m/>
    <m/>
    <m/>
    <m/>
    <m/>
    <s v="Túnel completo-Vol 73"/>
    <m/>
  </r>
  <r>
    <n v="74"/>
    <x v="0"/>
    <n v="2024"/>
    <x v="2"/>
    <x v="59"/>
    <s v="Túnel completo"/>
    <n v="74"/>
    <n v="138"/>
    <n v="138"/>
    <m/>
    <m/>
    <n v="138"/>
    <m/>
    <m/>
    <n v="138"/>
    <m/>
    <x v="51"/>
    <m/>
    <n v="39"/>
    <m/>
    <s v="Junior Bonilla /Americo Panebra/Gustavo caballero"/>
    <n v="32"/>
    <n v="200"/>
    <m/>
    <m/>
    <m/>
    <m/>
    <m/>
    <m/>
    <m/>
    <n v="3.4"/>
    <e v="#REF!"/>
    <m/>
    <m/>
    <m/>
    <m/>
    <m/>
    <m/>
    <m/>
    <m/>
    <m/>
    <s v="Túnel completo-Vol 74"/>
    <m/>
  </r>
  <r>
    <n v="3"/>
    <x v="1"/>
    <n v="2024"/>
    <x v="2"/>
    <x v="59"/>
    <s v="Galería 01"/>
    <n v="3"/>
    <n v="68"/>
    <n v="68"/>
    <m/>
    <m/>
    <n v="68"/>
    <m/>
    <m/>
    <n v="68"/>
    <m/>
    <x v="49"/>
    <m/>
    <n v="53.5"/>
    <m/>
    <s v="Junior Bonilla / Américo Panebra / Gustavo Caballero"/>
    <n v="0"/>
    <n v="200"/>
    <m/>
    <m/>
    <m/>
    <m/>
    <m/>
    <m/>
    <m/>
    <n v="2.65"/>
    <e v="#REF!"/>
    <m/>
    <m/>
    <m/>
    <m/>
    <m/>
    <m/>
    <m/>
    <m/>
    <m/>
    <s v="Galería 01-Vol 3"/>
    <m/>
  </r>
  <r>
    <n v="75"/>
    <x v="0"/>
    <n v="2024"/>
    <x v="2"/>
    <x v="59"/>
    <s v="Túnel completo"/>
    <n v="75"/>
    <n v="148"/>
    <n v="148"/>
    <m/>
    <m/>
    <n v="148"/>
    <m/>
    <m/>
    <n v="148"/>
    <m/>
    <x v="52"/>
    <m/>
    <n v="231.5"/>
    <m/>
    <s v="Necineida Quispe/Alvino Fabia /Cesar Lozada"/>
    <n v="35"/>
    <n v="200"/>
    <m/>
    <m/>
    <m/>
    <m/>
    <m/>
    <m/>
    <m/>
    <n v="3.6"/>
    <e v="#REF!"/>
    <m/>
    <m/>
    <m/>
    <m/>
    <m/>
    <m/>
    <m/>
    <m/>
    <m/>
    <s v="Túnel completo-Vol 75"/>
    <m/>
  </r>
  <r>
    <n v="76"/>
    <x v="0"/>
    <n v="2024"/>
    <x v="2"/>
    <x v="60"/>
    <s v="Túnel incompleto"/>
    <n v="76"/>
    <n v="85"/>
    <n v="85"/>
    <m/>
    <m/>
    <n v="85"/>
    <m/>
    <m/>
    <n v="85"/>
    <m/>
    <x v="53"/>
    <m/>
    <n v="133"/>
    <m/>
    <s v="Necineida Quispe/Américo Panebra/Gustavo Caballero"/>
    <n v="0"/>
    <n v="200"/>
    <m/>
    <m/>
    <m/>
    <m/>
    <m/>
    <m/>
    <m/>
    <n v="2.8"/>
    <e v="#REF!"/>
    <m/>
    <m/>
    <m/>
    <m/>
    <m/>
    <m/>
    <m/>
    <m/>
    <m/>
    <s v="Túnel incompleto-Vol 76"/>
    <m/>
  </r>
  <r>
    <n v="77"/>
    <x v="0"/>
    <n v="2024"/>
    <x v="2"/>
    <x v="60"/>
    <s v="Túnel incompleto"/>
    <n v="77"/>
    <n v="135"/>
    <n v="135"/>
    <m/>
    <m/>
    <n v="135"/>
    <m/>
    <m/>
    <n v="135"/>
    <m/>
    <x v="54"/>
    <m/>
    <n v="224"/>
    <m/>
    <s v="Necineida Quispe/Américo Panebra/Gustavo Caballero"/>
    <n v="35"/>
    <n v="200"/>
    <m/>
    <m/>
    <m/>
    <m/>
    <m/>
    <m/>
    <m/>
    <n v="3.4"/>
    <e v="#REF!"/>
    <m/>
    <m/>
    <m/>
    <m/>
    <m/>
    <m/>
    <m/>
    <m/>
    <m/>
    <s v="Túnel incompleto-Vol 77"/>
    <m/>
  </r>
  <r>
    <n v="4"/>
    <x v="1"/>
    <n v="2024"/>
    <x v="2"/>
    <x v="60"/>
    <s v="Galería 01"/>
    <n v="4"/>
    <n v="82"/>
    <n v="82"/>
    <m/>
    <m/>
    <n v="82"/>
    <m/>
    <m/>
    <n v="82"/>
    <m/>
    <x v="9"/>
    <m/>
    <n v="74"/>
    <m/>
    <s v="Junior Bonilla /Alvino Fabián / Cesar Lozada"/>
    <n v="0"/>
    <n v="200"/>
    <m/>
    <m/>
    <m/>
    <m/>
    <m/>
    <m/>
    <m/>
    <n v="3.22"/>
    <e v="#REF!"/>
    <m/>
    <m/>
    <m/>
    <m/>
    <m/>
    <m/>
    <m/>
    <m/>
    <m/>
    <s v="Galería 01-Vol 4"/>
    <m/>
  </r>
  <r>
    <n v="78"/>
    <x v="0"/>
    <n v="2024"/>
    <x v="2"/>
    <x v="61"/>
    <s v="Túnel incompleto"/>
    <n v="78"/>
    <n v="87"/>
    <n v="87"/>
    <m/>
    <m/>
    <n v="87"/>
    <m/>
    <m/>
    <n v="87"/>
    <m/>
    <x v="55"/>
    <m/>
    <n v="134"/>
    <m/>
    <s v="Necineida Quispe/Américo Panebra/Gustavo Caballero"/>
    <n v="15"/>
    <n v="200"/>
    <m/>
    <m/>
    <m/>
    <m/>
    <m/>
    <m/>
    <m/>
    <n v="2.2999999999999998"/>
    <e v="#REF!"/>
    <m/>
    <m/>
    <m/>
    <m/>
    <m/>
    <m/>
    <m/>
    <m/>
    <m/>
    <s v="Túnel incompleto-Vol 78"/>
    <m/>
  </r>
  <r>
    <n v="5"/>
    <x v="1"/>
    <n v="2024"/>
    <x v="2"/>
    <x v="61"/>
    <s v="Galería 01"/>
    <n v="5"/>
    <n v="74"/>
    <n v="74"/>
    <m/>
    <m/>
    <n v="74"/>
    <m/>
    <m/>
    <n v="74"/>
    <m/>
    <x v="0"/>
    <m/>
    <n v="94"/>
    <m/>
    <s v="Junior Bonilla /Alvino Fabián / Cesar Lozada"/>
    <n v="0"/>
    <n v="200"/>
    <m/>
    <m/>
    <m/>
    <m/>
    <m/>
    <m/>
    <m/>
    <n v="1.8"/>
    <e v="#REF!"/>
    <m/>
    <m/>
    <m/>
    <m/>
    <m/>
    <m/>
    <m/>
    <m/>
    <m/>
    <s v="Galería 01-Vol 5"/>
    <m/>
  </r>
  <r>
    <n v="79"/>
    <x v="0"/>
    <n v="2024"/>
    <x v="2"/>
    <x v="61"/>
    <s v="Túnel incompleto"/>
    <n v="79"/>
    <n v="117"/>
    <n v="117"/>
    <m/>
    <m/>
    <n v="113"/>
    <m/>
    <m/>
    <n v="113"/>
    <m/>
    <x v="56"/>
    <m/>
    <n v="190"/>
    <m/>
    <s v="Junior Bonilla / Necineida Quispe/ Miguel Carrera"/>
    <n v="9"/>
    <n v="200"/>
    <m/>
    <m/>
    <m/>
    <m/>
    <m/>
    <m/>
    <m/>
    <n v="3.05"/>
    <e v="#REF!"/>
    <m/>
    <m/>
    <m/>
    <m/>
    <m/>
    <m/>
    <m/>
    <m/>
    <m/>
    <s v="Túnel incompleto-Vol 79"/>
    <m/>
  </r>
  <r>
    <n v="80"/>
    <x v="0"/>
    <n v="2024"/>
    <x v="3"/>
    <x v="62"/>
    <s v="Túnel incompleto"/>
    <n v="80"/>
    <n v="101"/>
    <n v="101"/>
    <m/>
    <m/>
    <n v="101"/>
    <m/>
    <m/>
    <n v="101"/>
    <m/>
    <x v="57"/>
    <m/>
    <n v="131"/>
    <m/>
    <s v="Saúl Galvan / Angel Bereche / Gustavo Caballero"/>
    <n v="15"/>
    <n v="200"/>
    <m/>
    <m/>
    <m/>
    <m/>
    <m/>
    <m/>
    <m/>
    <n v="2.02"/>
    <e v="#REF!"/>
    <m/>
    <m/>
    <m/>
    <m/>
    <m/>
    <m/>
    <m/>
    <m/>
    <m/>
    <s v="Túnel incompleto-Vol 80"/>
    <m/>
  </r>
  <r>
    <n v="6"/>
    <x v="1"/>
    <n v="2024"/>
    <x v="3"/>
    <x v="62"/>
    <s v="Galeria 01 - CI"/>
    <n v="6"/>
    <n v="93"/>
    <n v="93"/>
    <m/>
    <m/>
    <n v="93"/>
    <m/>
    <m/>
    <n v="93"/>
    <m/>
    <x v="0"/>
    <m/>
    <n v="105"/>
    <m/>
    <s v="Junior Bonilla/Miguel Carrera/Americo Panebra"/>
    <n v="0"/>
    <n v="200"/>
    <m/>
    <m/>
    <m/>
    <m/>
    <m/>
    <m/>
    <m/>
    <n v="2.1"/>
    <e v="#REF!"/>
    <m/>
    <m/>
    <m/>
    <m/>
    <m/>
    <m/>
    <m/>
    <m/>
    <m/>
    <s v="Galeria 01 - CI-Vol 6"/>
    <m/>
  </r>
  <r>
    <n v="7"/>
    <x v="1"/>
    <n v="2024"/>
    <x v="3"/>
    <x v="63"/>
    <s v="Galeria 01 - CI"/>
    <n v="7"/>
    <n v="85"/>
    <n v="85"/>
    <m/>
    <m/>
    <n v="85"/>
    <m/>
    <m/>
    <n v="85"/>
    <m/>
    <x v="9"/>
    <m/>
    <n v="105"/>
    <m/>
    <s v="Saúl Galvan / Angel Bereche / Gustavo Caballero"/>
    <n v="0"/>
    <n v="200"/>
    <m/>
    <m/>
    <m/>
    <m/>
    <m/>
    <m/>
    <m/>
    <m/>
    <e v="#REF!"/>
    <m/>
    <m/>
    <m/>
    <m/>
    <m/>
    <m/>
    <m/>
    <m/>
    <m/>
    <s v="Galeria 01 - CI-Vol 7"/>
    <m/>
  </r>
  <r>
    <n v="8"/>
    <x v="1"/>
    <n v="2024"/>
    <x v="3"/>
    <x v="64"/>
    <s v="Galeria 01 - CI"/>
    <n v="8"/>
    <n v="89"/>
    <n v="89"/>
    <m/>
    <m/>
    <n v="89"/>
    <m/>
    <m/>
    <n v="89"/>
    <m/>
    <x v="9"/>
    <m/>
    <n v="120"/>
    <m/>
    <s v="Saúl Galvan / Angel Bereche / Gustavo Caballero"/>
    <n v="0"/>
    <n v="200"/>
    <m/>
    <m/>
    <m/>
    <m/>
    <m/>
    <m/>
    <m/>
    <m/>
    <e v="#REF!"/>
    <m/>
    <m/>
    <m/>
    <m/>
    <m/>
    <m/>
    <m/>
    <m/>
    <m/>
    <s v="Galeria 01 - CI-Vol 8"/>
    <m/>
  </r>
  <r>
    <n v="81"/>
    <x v="0"/>
    <n v="2024"/>
    <x v="3"/>
    <x v="62"/>
    <s v="Túnel completo"/>
    <n v="81"/>
    <n v="141"/>
    <n v="141"/>
    <m/>
    <m/>
    <m/>
    <m/>
    <m/>
    <n v="141"/>
    <m/>
    <x v="58"/>
    <m/>
    <n v="19.5"/>
    <m/>
    <s v="Junior Bonilla/Miguel Carrera/Americo Panebra"/>
    <n v="0"/>
    <n v="200"/>
    <m/>
    <m/>
    <m/>
    <m/>
    <m/>
    <m/>
    <m/>
    <n v="3.45"/>
    <e v="#REF!"/>
    <m/>
    <m/>
    <m/>
    <m/>
    <m/>
    <m/>
    <m/>
    <m/>
    <m/>
    <s v="Túnel completo-Vol 81"/>
    <m/>
  </r>
  <r>
    <n v="82"/>
    <x v="0"/>
    <n v="2024"/>
    <x v="3"/>
    <x v="63"/>
    <s v="Túnel completo"/>
    <n v="82"/>
    <n v="132"/>
    <n v="132"/>
    <m/>
    <m/>
    <n v="132"/>
    <m/>
    <m/>
    <n v="132"/>
    <m/>
    <x v="8"/>
    <m/>
    <n v="53.5"/>
    <m/>
    <s v="Junior Bonilla/Miguel Carrera/Americo Panebra"/>
    <n v="0"/>
    <n v="200"/>
    <m/>
    <m/>
    <m/>
    <m/>
    <m/>
    <m/>
    <m/>
    <n v="3.6"/>
    <e v="#REF!"/>
    <m/>
    <m/>
    <m/>
    <m/>
    <m/>
    <m/>
    <m/>
    <m/>
    <m/>
    <s v="Túnel completo-Vol 82"/>
    <m/>
  </r>
  <r>
    <n v="83"/>
    <x v="0"/>
    <n v="2024"/>
    <x v="3"/>
    <x v="64"/>
    <s v="Túnel completo"/>
    <n v="83"/>
    <n v="155"/>
    <n v="155"/>
    <m/>
    <m/>
    <n v="155"/>
    <m/>
    <m/>
    <n v="155"/>
    <m/>
    <x v="59"/>
    <m/>
    <n v="190"/>
    <m/>
    <s v="Junior Bonilla/Miguel Carrera/Americo Panebra"/>
    <n v="0"/>
    <n v="200"/>
    <m/>
    <m/>
    <m/>
    <m/>
    <m/>
    <m/>
    <m/>
    <n v="3.4"/>
    <e v="#REF!"/>
    <m/>
    <m/>
    <m/>
    <m/>
    <m/>
    <m/>
    <m/>
    <m/>
    <m/>
    <s v="Túnel completo-Vol 83"/>
    <m/>
  </r>
  <r>
    <n v="9"/>
    <x v="1"/>
    <n v="2024"/>
    <x v="3"/>
    <x v="64"/>
    <s v="Galeria 01 - CI"/>
    <n v="9"/>
    <n v="100"/>
    <n v="100"/>
    <m/>
    <m/>
    <n v="100"/>
    <m/>
    <m/>
    <n v="100"/>
    <m/>
    <x v="0"/>
    <m/>
    <m/>
    <m/>
    <m/>
    <m/>
    <m/>
    <m/>
    <m/>
    <m/>
    <m/>
    <m/>
    <m/>
    <m/>
    <m/>
    <e v="#REF!"/>
    <m/>
    <m/>
    <m/>
    <m/>
    <m/>
    <m/>
    <m/>
    <m/>
    <m/>
    <s v="Galeria 01 - CI-Vol 9"/>
    <m/>
  </r>
  <r>
    <n v="84"/>
    <x v="0"/>
    <n v="2024"/>
    <x v="3"/>
    <x v="64"/>
    <s v="Túnel completo"/>
    <n v="84"/>
    <n v="159"/>
    <n v="159"/>
    <m/>
    <m/>
    <n v="159"/>
    <m/>
    <m/>
    <n v="159"/>
    <m/>
    <x v="36"/>
    <m/>
    <n v="340"/>
    <m/>
    <s v="Saul Galvan / Angel Bereche"/>
    <n v="30"/>
    <n v="200"/>
    <m/>
    <m/>
    <m/>
    <m/>
    <m/>
    <m/>
    <m/>
    <n v="3.13"/>
    <e v="#REF!"/>
    <m/>
    <m/>
    <m/>
    <m/>
    <m/>
    <m/>
    <m/>
    <m/>
    <m/>
    <s v="Túnel completo-Vol 84"/>
    <m/>
  </r>
  <r>
    <n v="85"/>
    <x v="0"/>
    <n v="2024"/>
    <x v="3"/>
    <x v="65"/>
    <s v="Túnel completo"/>
    <n v="85"/>
    <n v="174"/>
    <n v="174"/>
    <m/>
    <m/>
    <n v="174"/>
    <m/>
    <m/>
    <n v="174"/>
    <m/>
    <x v="60"/>
    <m/>
    <n v="297"/>
    <m/>
    <s v="Saul Galvan / Angel Bereche / Miguel Cabrera"/>
    <n v="12"/>
    <n v="200"/>
    <m/>
    <m/>
    <m/>
    <m/>
    <m/>
    <m/>
    <m/>
    <n v="4.07"/>
    <e v="#REF!"/>
    <m/>
    <m/>
    <m/>
    <m/>
    <m/>
    <m/>
    <m/>
    <m/>
    <m/>
    <s v="Túnel completo-Vol 85"/>
    <m/>
  </r>
  <r>
    <n v="86"/>
    <x v="0"/>
    <n v="2024"/>
    <x v="3"/>
    <x v="65"/>
    <s v="Túnel completo"/>
    <n v="86"/>
    <n v="161"/>
    <n v="161"/>
    <m/>
    <m/>
    <n v="161"/>
    <m/>
    <m/>
    <n v="161"/>
    <m/>
    <x v="61"/>
    <m/>
    <n v="336"/>
    <m/>
    <s v="Saul Galvan / Angel Bereche / Miguel Cabrera"/>
    <n v="34"/>
    <n v="200"/>
    <m/>
    <m/>
    <m/>
    <m/>
    <m/>
    <m/>
    <m/>
    <n v="3.14"/>
    <e v="#REF!"/>
    <m/>
    <m/>
    <m/>
    <m/>
    <m/>
    <m/>
    <m/>
    <m/>
    <m/>
    <s v="Túnel completo-Vol 86"/>
    <m/>
  </r>
  <r>
    <n v="10"/>
    <x v="1"/>
    <n v="2024"/>
    <x v="3"/>
    <x v="65"/>
    <s v="Galeria 01 - CI"/>
    <n v="10"/>
    <n v="96"/>
    <n v="96"/>
    <m/>
    <m/>
    <n v="96"/>
    <m/>
    <m/>
    <n v="96"/>
    <m/>
    <x v="9"/>
    <m/>
    <n v="179"/>
    <m/>
    <s v="Wilber Huamani / Gustavo Caballero"/>
    <n v="0"/>
    <n v="200"/>
    <m/>
    <m/>
    <m/>
    <m/>
    <m/>
    <m/>
    <m/>
    <n v="2.5499999999999998"/>
    <e v="#REF!"/>
    <m/>
    <m/>
    <m/>
    <m/>
    <m/>
    <m/>
    <m/>
    <m/>
    <m/>
    <s v="Galeria 01 - CI-Vol 10"/>
    <m/>
  </r>
  <r>
    <n v="87"/>
    <x v="0"/>
    <n v="2024"/>
    <x v="3"/>
    <x v="66"/>
    <s v="Túnel completo"/>
    <n v="87"/>
    <n v="175"/>
    <n v="175"/>
    <m/>
    <m/>
    <n v="175"/>
    <m/>
    <m/>
    <n v="175"/>
    <m/>
    <x v="62"/>
    <m/>
    <n v="380"/>
    <m/>
    <s v="Saul Galvan / Angel Bereche / Miguel Cabrera"/>
    <n v="60"/>
    <n v="200"/>
    <m/>
    <m/>
    <m/>
    <m/>
    <m/>
    <m/>
    <m/>
    <n v="3.2"/>
    <e v="#REF!"/>
    <m/>
    <m/>
    <m/>
    <m/>
    <m/>
    <m/>
    <m/>
    <m/>
    <m/>
    <s v="Túnel completo-Vol 87"/>
    <m/>
  </r>
  <r>
    <n v="88"/>
    <x v="0"/>
    <n v="2024"/>
    <x v="3"/>
    <x v="66"/>
    <s v="Túnel completo"/>
    <n v="88"/>
    <n v="175"/>
    <n v="175"/>
    <m/>
    <m/>
    <n v="175"/>
    <m/>
    <m/>
    <n v="175"/>
    <m/>
    <x v="63"/>
    <m/>
    <n v="383.5"/>
    <m/>
    <s v="Saul Galvan / Angel Bereche / Miguel Cabrera"/>
    <n v="29.5"/>
    <n v="200"/>
    <m/>
    <m/>
    <m/>
    <m/>
    <m/>
    <m/>
    <m/>
    <n v="3.38"/>
    <e v="#REF!"/>
    <m/>
    <m/>
    <m/>
    <m/>
    <m/>
    <m/>
    <m/>
    <m/>
    <m/>
    <s v="Túnel completo-Vol 88"/>
    <m/>
  </r>
  <r>
    <n v="11"/>
    <x v="1"/>
    <n v="2024"/>
    <x v="3"/>
    <x v="66"/>
    <s v="Túnel completo"/>
    <n v="11"/>
    <n v="66"/>
    <n v="66"/>
    <m/>
    <m/>
    <n v="66"/>
    <m/>
    <m/>
    <n v="66"/>
    <m/>
    <x v="9"/>
    <m/>
    <n v="101"/>
    <m/>
    <s v="Wilber Huamani / Gustavo Caballero"/>
    <n v="0"/>
    <n v="200"/>
    <m/>
    <m/>
    <m/>
    <m/>
    <m/>
    <m/>
    <m/>
    <n v="2.5499999999999998"/>
    <e v="#REF!"/>
    <m/>
    <m/>
    <m/>
    <m/>
    <m/>
    <m/>
    <m/>
    <m/>
    <m/>
    <s v="Túnel completo-Vol 11"/>
    <m/>
  </r>
  <r>
    <n v="89"/>
    <x v="0"/>
    <n v="2024"/>
    <x v="3"/>
    <x v="67"/>
    <s v="Túnel completo"/>
    <n v="89"/>
    <n v="171"/>
    <n v="171"/>
    <m/>
    <m/>
    <n v="171"/>
    <m/>
    <m/>
    <n v="171"/>
    <m/>
    <x v="64"/>
    <m/>
    <n v="406.5"/>
    <m/>
    <s v="Saul Galvan / Angel Bereche / Miguel Cabrera"/>
    <n v="53.5"/>
    <n v="200"/>
    <m/>
    <m/>
    <m/>
    <m/>
    <m/>
    <m/>
    <m/>
    <n v="4.25"/>
    <e v="#REF!"/>
    <m/>
    <m/>
    <m/>
    <m/>
    <m/>
    <m/>
    <m/>
    <m/>
    <m/>
    <s v="Túnel completo-Vol 89"/>
    <s v="Quedó 3TQ"/>
  </r>
  <r>
    <n v="12"/>
    <x v="1"/>
    <n v="2024"/>
    <x v="3"/>
    <x v="67"/>
    <s v="Galeria 01 - CI"/>
    <n v="12"/>
    <n v="92"/>
    <n v="92"/>
    <m/>
    <m/>
    <n v="92"/>
    <m/>
    <m/>
    <n v="92"/>
    <m/>
    <x v="9"/>
    <m/>
    <m/>
    <m/>
    <s v="Wilber Huamani / Gustavo Caballero"/>
    <n v="0"/>
    <n v="200"/>
    <m/>
    <m/>
    <m/>
    <m/>
    <m/>
    <m/>
    <m/>
    <n v="2.4"/>
    <e v="#REF!"/>
    <m/>
    <m/>
    <m/>
    <m/>
    <m/>
    <m/>
    <m/>
    <m/>
    <m/>
    <s v="Galeria 01 - CI-Vol 12"/>
    <m/>
  </r>
  <r>
    <n v="90"/>
    <x v="0"/>
    <n v="2024"/>
    <x v="3"/>
    <x v="67"/>
    <s v="Túnel completo"/>
    <n v="90"/>
    <n v="175"/>
    <n v="175"/>
    <m/>
    <m/>
    <n v="175"/>
    <m/>
    <m/>
    <n v="175"/>
    <m/>
    <x v="65"/>
    <m/>
    <n v="496"/>
    <m/>
    <s v="Saul Galvan / Angel Bereche / Miguel Cabrera"/>
    <n v="70"/>
    <n v="200"/>
    <m/>
    <m/>
    <m/>
    <m/>
    <m/>
    <m/>
    <m/>
    <n v="3.6"/>
    <e v="#REF!"/>
    <m/>
    <m/>
    <m/>
    <m/>
    <m/>
    <m/>
    <m/>
    <m/>
    <m/>
    <s v="Túnel completo-Vol 90"/>
    <m/>
  </r>
  <r>
    <n v="13"/>
    <x v="1"/>
    <n v="2024"/>
    <x v="3"/>
    <x v="67"/>
    <s v="Galeria 01 - CI"/>
    <n v="13"/>
    <n v="92"/>
    <n v="92"/>
    <m/>
    <m/>
    <n v="92"/>
    <m/>
    <m/>
    <n v="92"/>
    <m/>
    <x v="1"/>
    <m/>
    <n v="96"/>
    <m/>
    <s v="Wilber Huamani / Gustavo Caballero"/>
    <n v="0"/>
    <n v="200"/>
    <m/>
    <m/>
    <m/>
    <m/>
    <m/>
    <m/>
    <m/>
    <n v="2.9"/>
    <e v="#REF!"/>
    <m/>
    <m/>
    <m/>
    <m/>
    <m/>
    <m/>
    <m/>
    <m/>
    <m/>
    <s v="Galeria 01 - CI-Vol 13"/>
    <m/>
  </r>
  <r>
    <n v="91"/>
    <x v="0"/>
    <n v="2024"/>
    <x v="3"/>
    <x v="68"/>
    <s v="Túnel completo"/>
    <n v="91"/>
    <n v="175"/>
    <n v="175"/>
    <m/>
    <m/>
    <n v="175"/>
    <m/>
    <m/>
    <n v="175"/>
    <m/>
    <x v="66"/>
    <m/>
    <n v="550"/>
    <m/>
    <s v="Saul Galvan / Angel Bereche / Miguel Cabrera"/>
    <n v="80"/>
    <n v="200"/>
    <m/>
    <m/>
    <m/>
    <m/>
    <m/>
    <m/>
    <m/>
    <n v="3.45"/>
    <e v="#REF!"/>
    <m/>
    <m/>
    <m/>
    <m/>
    <m/>
    <m/>
    <m/>
    <m/>
    <m/>
    <s v="Túnel completo-Vol 91"/>
    <m/>
  </r>
  <r>
    <n v="14"/>
    <x v="1"/>
    <n v="2024"/>
    <x v="3"/>
    <x v="68"/>
    <s v="Galeria 01 - CI"/>
    <n v="14"/>
    <n v="108"/>
    <n v="108"/>
    <m/>
    <m/>
    <n v="108"/>
    <m/>
    <m/>
    <n v="108"/>
    <m/>
    <x v="67"/>
    <m/>
    <n v="129"/>
    <m/>
    <s v="Wilber Huamani / Gustavo Caballero"/>
    <n v="0"/>
    <n v="200"/>
    <m/>
    <m/>
    <m/>
    <m/>
    <m/>
    <m/>
    <m/>
    <n v="3"/>
    <e v="#REF!"/>
    <m/>
    <m/>
    <m/>
    <m/>
    <m/>
    <m/>
    <m/>
    <m/>
    <m/>
    <s v="Galeria 01 - CI-Vol 14"/>
    <m/>
  </r>
  <r>
    <n v="92"/>
    <x v="0"/>
    <n v="2024"/>
    <x v="3"/>
    <x v="68"/>
    <s v="Túnel completo"/>
    <n v="92"/>
    <n v="183"/>
    <n v="183"/>
    <m/>
    <m/>
    <n v="183"/>
    <m/>
    <m/>
    <n v="183"/>
    <m/>
    <x v="68"/>
    <m/>
    <n v="420"/>
    <m/>
    <s v="Saul Galvan / Angel Bereche / Miguel Cabrera"/>
    <n v="79"/>
    <n v="200"/>
    <m/>
    <m/>
    <m/>
    <m/>
    <m/>
    <m/>
    <m/>
    <n v="4.28"/>
    <e v="#REF!"/>
    <m/>
    <m/>
    <m/>
    <m/>
    <m/>
    <m/>
    <m/>
    <m/>
    <m/>
    <s v="Túnel completo-Vol 92"/>
    <m/>
  </r>
  <r>
    <n v="15"/>
    <x v="1"/>
    <n v="2024"/>
    <x v="3"/>
    <x v="68"/>
    <s v="Galeria 01 - CI"/>
    <n v="15"/>
    <n v="107"/>
    <n v="107"/>
    <m/>
    <m/>
    <n v="107"/>
    <m/>
    <m/>
    <n v="107"/>
    <m/>
    <x v="69"/>
    <m/>
    <n v="24"/>
    <m/>
    <s v="Wilber Huamani / Gustavo Caballero"/>
    <n v="0"/>
    <n v="200"/>
    <m/>
    <m/>
    <m/>
    <m/>
    <m/>
    <m/>
    <m/>
    <n v="3.15"/>
    <e v="#REF!"/>
    <m/>
    <m/>
    <m/>
    <m/>
    <m/>
    <m/>
    <m/>
    <m/>
    <m/>
    <s v="Galeria 01 - CI-Vol 15"/>
    <m/>
  </r>
  <r>
    <n v="93"/>
    <x v="0"/>
    <n v="2024"/>
    <x v="3"/>
    <x v="69"/>
    <s v="Túnel completo"/>
    <n v="93"/>
    <n v="182"/>
    <n v="182"/>
    <m/>
    <m/>
    <n v="182"/>
    <m/>
    <m/>
    <n v="182"/>
    <m/>
    <x v="70"/>
    <m/>
    <n v="681"/>
    <m/>
    <s v="Saul Galvan / Angel Bereche "/>
    <n v="92"/>
    <n v="200"/>
    <m/>
    <m/>
    <m/>
    <m/>
    <m/>
    <m/>
    <m/>
    <n v="3.6"/>
    <e v="#REF!"/>
    <m/>
    <m/>
    <m/>
    <m/>
    <m/>
    <m/>
    <m/>
    <m/>
    <m/>
    <s v="Túnel completo-Vol 93"/>
    <m/>
  </r>
  <r>
    <n v="94"/>
    <x v="0"/>
    <n v="2024"/>
    <x v="3"/>
    <x v="69"/>
    <s v="Túnel completo"/>
    <n v="94"/>
    <n v="176"/>
    <n v="176"/>
    <m/>
    <m/>
    <n v="176"/>
    <m/>
    <m/>
    <n v="176"/>
    <m/>
    <x v="71"/>
    <m/>
    <n v="510.5"/>
    <m/>
    <s v="Saul Galvan / Angel Bereche "/>
    <n v="47"/>
    <n v="200"/>
    <m/>
    <m/>
    <m/>
    <m/>
    <m/>
    <m/>
    <m/>
    <n v="4.13"/>
    <e v="#REF!"/>
    <m/>
    <m/>
    <m/>
    <m/>
    <m/>
    <m/>
    <m/>
    <m/>
    <m/>
    <s v="Túnel completo-Vol 94"/>
    <m/>
  </r>
  <r>
    <n v="16"/>
    <x v="1"/>
    <n v="2024"/>
    <x v="3"/>
    <x v="69"/>
    <s v="Galeria 01 - CI"/>
    <n v="16"/>
    <n v="116"/>
    <n v="116"/>
    <m/>
    <m/>
    <n v="116"/>
    <m/>
    <m/>
    <n v="116"/>
    <m/>
    <x v="69"/>
    <m/>
    <n v="250"/>
    <m/>
    <s v="Miguel Carrera / Gustavo Caballero"/>
    <n v="0"/>
    <n v="200"/>
    <m/>
    <m/>
    <m/>
    <m/>
    <m/>
    <m/>
    <m/>
    <n v="3.2"/>
    <e v="#REF!"/>
    <m/>
    <m/>
    <m/>
    <m/>
    <m/>
    <m/>
    <m/>
    <m/>
    <m/>
    <e v="#REF!"/>
    <m/>
  </r>
  <r>
    <n v="95"/>
    <x v="0"/>
    <n v="2024"/>
    <x v="3"/>
    <x v="70"/>
    <s v="Túnel completo"/>
    <n v="95"/>
    <n v="165"/>
    <n v="165"/>
    <m/>
    <m/>
    <n v="165"/>
    <m/>
    <m/>
    <n v="165"/>
    <m/>
    <x v="72"/>
    <m/>
    <n v="382.5"/>
    <m/>
    <m/>
    <n v="40"/>
    <n v="200"/>
    <m/>
    <m/>
    <m/>
    <m/>
    <m/>
    <m/>
    <m/>
    <n v="4.2"/>
    <e v="#REF!"/>
    <m/>
    <m/>
    <m/>
    <m/>
    <m/>
    <m/>
    <m/>
    <m/>
    <m/>
    <s v="Túnel completo-Vol 95"/>
    <m/>
  </r>
  <r>
    <n v="17"/>
    <x v="1"/>
    <n v="2024"/>
    <x v="3"/>
    <x v="70"/>
    <s v="Galeria 01 - CI"/>
    <n v="17"/>
    <n v="104"/>
    <n v="104"/>
    <n v="0"/>
    <m/>
    <n v="104"/>
    <m/>
    <m/>
    <n v="104"/>
    <m/>
    <x v="73"/>
    <m/>
    <n v="19"/>
    <m/>
    <m/>
    <n v="0"/>
    <n v="200"/>
    <m/>
    <m/>
    <m/>
    <m/>
    <m/>
    <m/>
    <m/>
    <n v="3.75"/>
    <e v="#REF!"/>
    <m/>
    <m/>
    <m/>
    <m/>
    <m/>
    <m/>
    <m/>
    <m/>
    <m/>
    <s v="Galeria 01 - CI-Vol 17"/>
    <m/>
  </r>
  <r>
    <n v="96"/>
    <x v="0"/>
    <n v="2024"/>
    <x v="3"/>
    <x v="70"/>
    <s v="Túnel completo"/>
    <n v="96"/>
    <n v="159"/>
    <n v="0"/>
    <n v="159"/>
    <m/>
    <n v="159"/>
    <m/>
    <m/>
    <n v="159"/>
    <m/>
    <x v="74"/>
    <m/>
    <n v="335"/>
    <m/>
    <m/>
    <n v="70"/>
    <n v="200"/>
    <m/>
    <m/>
    <m/>
    <m/>
    <m/>
    <m/>
    <m/>
    <m/>
    <e v="#REF!"/>
    <m/>
    <m/>
    <m/>
    <m/>
    <m/>
    <m/>
    <m/>
    <m/>
    <m/>
    <s v="Túnel completo-Vol 96"/>
    <m/>
  </r>
  <r>
    <n v="18"/>
    <x v="1"/>
    <n v="2024"/>
    <x v="3"/>
    <x v="70"/>
    <s v="Galeria 01 - CI"/>
    <n v="18"/>
    <n v="159"/>
    <n v="41"/>
    <n v="0"/>
    <m/>
    <n v="41"/>
    <m/>
    <m/>
    <n v="41"/>
    <m/>
    <x v="73"/>
    <m/>
    <n v="25"/>
    <m/>
    <m/>
    <n v="0"/>
    <n v="200"/>
    <m/>
    <m/>
    <m/>
    <m/>
    <m/>
    <m/>
    <m/>
    <n v="3.48"/>
    <e v="#REF!"/>
    <m/>
    <m/>
    <m/>
    <m/>
    <m/>
    <m/>
    <m/>
    <m/>
    <m/>
    <s v="Galeria 01 - CI-Vol 18"/>
    <m/>
  </r>
  <r>
    <n v="97"/>
    <x v="0"/>
    <n v="2024"/>
    <x v="3"/>
    <x v="71"/>
    <s v="Túnel completo"/>
    <n v="97"/>
    <n v="167"/>
    <n v="0"/>
    <n v="167"/>
    <m/>
    <n v="167"/>
    <m/>
    <m/>
    <n v="167"/>
    <m/>
    <x v="75"/>
    <m/>
    <n v="78.86"/>
    <m/>
    <m/>
    <n v="10"/>
    <n v="200"/>
    <m/>
    <m/>
    <m/>
    <m/>
    <m/>
    <m/>
    <m/>
    <m/>
    <e v="#REF!"/>
    <m/>
    <m/>
    <m/>
    <m/>
    <m/>
    <m/>
    <m/>
    <m/>
    <m/>
    <s v="Túnel completo-Vol 97"/>
    <m/>
  </r>
  <r>
    <n v="19"/>
    <x v="1"/>
    <n v="2024"/>
    <x v="3"/>
    <x v="71"/>
    <s v="Galeria 01 - CI"/>
    <n v="19"/>
    <n v="112"/>
    <n v="112"/>
    <n v="0"/>
    <m/>
    <n v="112"/>
    <m/>
    <m/>
    <n v="112"/>
    <m/>
    <x v="76"/>
    <m/>
    <n v="176"/>
    <m/>
    <m/>
    <n v="0"/>
    <n v="200"/>
    <m/>
    <m/>
    <m/>
    <m/>
    <m/>
    <m/>
    <m/>
    <n v="3.46"/>
    <e v="#REF!"/>
    <m/>
    <m/>
    <m/>
    <m/>
    <m/>
    <m/>
    <m/>
    <m/>
    <m/>
    <s v="Galeria 01 - CI-Vol 19"/>
    <m/>
  </r>
  <r>
    <n v="98"/>
    <x v="0"/>
    <n v="2024"/>
    <x v="3"/>
    <x v="71"/>
    <s v="Túnel completo"/>
    <n v="98"/>
    <n v="172"/>
    <n v="0"/>
    <n v="172"/>
    <m/>
    <n v="172"/>
    <m/>
    <m/>
    <n v="172"/>
    <m/>
    <x v="77"/>
    <m/>
    <n v="300"/>
    <m/>
    <m/>
    <n v="58"/>
    <n v="200"/>
    <m/>
    <m/>
    <m/>
    <m/>
    <m/>
    <m/>
    <m/>
    <m/>
    <e v="#REF!"/>
    <m/>
    <m/>
    <m/>
    <m/>
    <m/>
    <m/>
    <m/>
    <m/>
    <m/>
    <s v="Túnel completo-Vol 98"/>
    <m/>
  </r>
  <r>
    <n v="20"/>
    <x v="1"/>
    <n v="2024"/>
    <x v="3"/>
    <x v="71"/>
    <s v="Galeria 01 - CI"/>
    <n v="20"/>
    <n v="114"/>
    <n v="0"/>
    <n v="114"/>
    <m/>
    <n v="114"/>
    <m/>
    <m/>
    <n v="114"/>
    <m/>
    <x v="78"/>
    <m/>
    <n v="42.81"/>
    <m/>
    <m/>
    <n v="0"/>
    <n v="200"/>
    <m/>
    <m/>
    <m/>
    <m/>
    <m/>
    <m/>
    <m/>
    <n v="3.78"/>
    <e v="#REF!"/>
    <m/>
    <m/>
    <m/>
    <m/>
    <m/>
    <m/>
    <m/>
    <m/>
    <m/>
    <s v="Galeria 01 - CI-Vol 20"/>
    <m/>
  </r>
  <r>
    <n v="99"/>
    <x v="0"/>
    <n v="2024"/>
    <x v="3"/>
    <x v="72"/>
    <s v="Túnel completo"/>
    <n v="99"/>
    <n v="175"/>
    <n v="0"/>
    <n v="175"/>
    <m/>
    <n v="175"/>
    <m/>
    <m/>
    <n v="175"/>
    <m/>
    <x v="79"/>
    <m/>
    <n v="290"/>
    <m/>
    <m/>
    <n v="60"/>
    <n v="200"/>
    <m/>
    <m/>
    <m/>
    <m/>
    <m/>
    <m/>
    <m/>
    <m/>
    <e v="#REF!"/>
    <m/>
    <m/>
    <m/>
    <m/>
    <m/>
    <m/>
    <m/>
    <m/>
    <m/>
    <s v="Túnel completo-Vol 99"/>
    <m/>
  </r>
  <r>
    <n v="21"/>
    <x v="1"/>
    <n v="2024"/>
    <x v="3"/>
    <x v="72"/>
    <s v="Galeria 01 - CI"/>
    <n v="21"/>
    <n v="118"/>
    <n v="0"/>
    <n v="118"/>
    <m/>
    <n v="118"/>
    <m/>
    <m/>
    <n v="118"/>
    <m/>
    <x v="80"/>
    <m/>
    <n v="48.14"/>
    <m/>
    <m/>
    <n v="0"/>
    <n v="200"/>
    <m/>
    <m/>
    <m/>
    <m/>
    <m/>
    <m/>
    <m/>
    <m/>
    <e v="#REF!"/>
    <m/>
    <m/>
    <m/>
    <m/>
    <m/>
    <m/>
    <m/>
    <m/>
    <m/>
    <s v="Galeria 01 - CI-Vol 21"/>
    <m/>
  </r>
  <r>
    <n v="100"/>
    <x v="0"/>
    <n v="2024"/>
    <x v="3"/>
    <x v="72"/>
    <s v="Túnel completo"/>
    <n v="100"/>
    <n v="165"/>
    <n v="0"/>
    <n v="165"/>
    <m/>
    <n v="165"/>
    <m/>
    <m/>
    <n v="165"/>
    <m/>
    <x v="81"/>
    <m/>
    <n v="390"/>
    <m/>
    <m/>
    <n v="70"/>
    <n v="200"/>
    <m/>
    <m/>
    <m/>
    <m/>
    <m/>
    <m/>
    <m/>
    <m/>
    <e v="#REF!"/>
    <m/>
    <m/>
    <m/>
    <m/>
    <m/>
    <m/>
    <m/>
    <m/>
    <m/>
    <s v="Túnel completo-Vol 100"/>
    <m/>
  </r>
  <r>
    <n v="101"/>
    <x v="0"/>
    <n v="2024"/>
    <x v="3"/>
    <x v="73"/>
    <s v="Túnel completo"/>
    <n v="101"/>
    <n v="174"/>
    <n v="0"/>
    <n v="174"/>
    <m/>
    <n v="174"/>
    <m/>
    <m/>
    <n v="174"/>
    <m/>
    <x v="82"/>
    <m/>
    <n v="418"/>
    <m/>
    <m/>
    <n v="62"/>
    <n v="200"/>
    <m/>
    <m/>
    <m/>
    <m/>
    <m/>
    <m/>
    <m/>
    <m/>
    <e v="#REF!"/>
    <m/>
    <m/>
    <m/>
    <m/>
    <m/>
    <m/>
    <m/>
    <m/>
    <m/>
    <s v="Túnel completo-Vol 101"/>
    <m/>
  </r>
  <r>
    <n v="22"/>
    <x v="1"/>
    <n v="2024"/>
    <x v="3"/>
    <x v="73"/>
    <s v="Galeria 01 - CI"/>
    <n v="22"/>
    <n v="118"/>
    <n v="0"/>
    <n v="118"/>
    <m/>
    <n v="118"/>
    <m/>
    <m/>
    <n v="118"/>
    <m/>
    <x v="9"/>
    <m/>
    <n v="210"/>
    <m/>
    <m/>
    <n v="0"/>
    <n v="200"/>
    <m/>
    <m/>
    <m/>
    <m/>
    <m/>
    <m/>
    <m/>
    <m/>
    <e v="#REF!"/>
    <m/>
    <m/>
    <m/>
    <m/>
    <m/>
    <m/>
    <m/>
    <m/>
    <m/>
    <s v="Galeria 01 - CI-Vol 22"/>
    <m/>
  </r>
  <r>
    <n v="102"/>
    <x v="0"/>
    <n v="2024"/>
    <x v="3"/>
    <x v="73"/>
    <s v="Túnel completo"/>
    <n v="102"/>
    <n v="172"/>
    <n v="0"/>
    <n v="172"/>
    <m/>
    <n v="172"/>
    <m/>
    <m/>
    <n v="172"/>
    <m/>
    <x v="83"/>
    <m/>
    <n v="643.5"/>
    <m/>
    <m/>
    <n v="67"/>
    <n v="200"/>
    <m/>
    <m/>
    <m/>
    <m/>
    <m/>
    <m/>
    <m/>
    <m/>
    <e v="#REF!"/>
    <m/>
    <m/>
    <m/>
    <m/>
    <m/>
    <m/>
    <m/>
    <m/>
    <m/>
    <s v="Túnel completo-Vol 102"/>
    <m/>
  </r>
  <r>
    <n v="23"/>
    <x v="1"/>
    <n v="2024"/>
    <x v="3"/>
    <x v="73"/>
    <s v="Galeria 01 - CI"/>
    <n v="23"/>
    <n v="102"/>
    <n v="0"/>
    <n v="102"/>
    <m/>
    <n v="102"/>
    <m/>
    <m/>
    <n v="102"/>
    <m/>
    <x v="9"/>
    <m/>
    <n v="167"/>
    <m/>
    <m/>
    <n v="0"/>
    <n v="200"/>
    <m/>
    <m/>
    <m/>
    <m/>
    <m/>
    <m/>
    <m/>
    <m/>
    <e v="#REF!"/>
    <m/>
    <m/>
    <m/>
    <m/>
    <m/>
    <m/>
    <m/>
    <m/>
    <m/>
    <s v="Galeria 01 - CI-Vol 23"/>
    <m/>
  </r>
  <r>
    <n v="103"/>
    <x v="0"/>
    <n v="2024"/>
    <x v="3"/>
    <x v="74"/>
    <s v="Túnel completo"/>
    <n v="103"/>
    <n v="179"/>
    <n v="0"/>
    <n v="179"/>
    <m/>
    <n v="179"/>
    <m/>
    <m/>
    <n v="179"/>
    <m/>
    <x v="84"/>
    <m/>
    <n v="0"/>
    <m/>
    <m/>
    <n v="79"/>
    <m/>
    <n v="200"/>
    <m/>
    <m/>
    <m/>
    <m/>
    <m/>
    <m/>
    <m/>
    <e v="#REF!"/>
    <m/>
    <m/>
    <m/>
    <m/>
    <m/>
    <m/>
    <m/>
    <m/>
    <m/>
    <s v="Túnel completo-Vol 103"/>
    <m/>
  </r>
  <r>
    <n v="24"/>
    <x v="1"/>
    <n v="2024"/>
    <x v="3"/>
    <x v="74"/>
    <s v="Galeria 01 - CI"/>
    <n v="24"/>
    <n v="128"/>
    <n v="0"/>
    <n v="128"/>
    <m/>
    <n v="128"/>
    <m/>
    <m/>
    <n v="128"/>
    <m/>
    <x v="9"/>
    <m/>
    <n v="220"/>
    <m/>
    <m/>
    <n v="0"/>
    <n v="200"/>
    <m/>
    <m/>
    <m/>
    <m/>
    <m/>
    <m/>
    <m/>
    <m/>
    <e v="#REF!"/>
    <m/>
    <m/>
    <m/>
    <m/>
    <m/>
    <m/>
    <m/>
    <m/>
    <m/>
    <s v="Galeria 01 - CI-Vol 24"/>
    <m/>
  </r>
  <r>
    <n v="104"/>
    <x v="0"/>
    <n v="2024"/>
    <x v="3"/>
    <x v="74"/>
    <s v="Túnel completo"/>
    <n v="104"/>
    <n v="178"/>
    <n v="0"/>
    <n v="178"/>
    <m/>
    <n v="178"/>
    <m/>
    <m/>
    <n v="178"/>
    <m/>
    <x v="85"/>
    <m/>
    <n v="712.5"/>
    <m/>
    <m/>
    <n v="94"/>
    <m/>
    <n v="200"/>
    <m/>
    <m/>
    <m/>
    <m/>
    <m/>
    <m/>
    <m/>
    <e v="#REF!"/>
    <m/>
    <m/>
    <m/>
    <m/>
    <m/>
    <m/>
    <m/>
    <m/>
    <m/>
    <s v="Túnel completo-Vol 104"/>
    <m/>
  </r>
  <r>
    <n v="25"/>
    <x v="1"/>
    <n v="2024"/>
    <x v="3"/>
    <x v="74"/>
    <s v="Galeria 01 - CI"/>
    <n v="25"/>
    <n v="155"/>
    <n v="0"/>
    <n v="155"/>
    <m/>
    <n v="155"/>
    <m/>
    <m/>
    <n v="155"/>
    <m/>
    <x v="54"/>
    <m/>
    <n v="240"/>
    <m/>
    <m/>
    <n v="0"/>
    <m/>
    <n v="200"/>
    <m/>
    <m/>
    <m/>
    <m/>
    <m/>
    <m/>
    <m/>
    <e v="#REF!"/>
    <m/>
    <m/>
    <m/>
    <m/>
    <m/>
    <m/>
    <m/>
    <m/>
    <m/>
    <s v="Galeria 01 - CI-Vol 25"/>
    <m/>
  </r>
  <r>
    <n v="105"/>
    <x v="0"/>
    <n v="2024"/>
    <x v="3"/>
    <x v="75"/>
    <s v="Túnel completo"/>
    <n v="105"/>
    <n v="179"/>
    <n v="0"/>
    <n v="179"/>
    <m/>
    <n v="179"/>
    <m/>
    <m/>
    <n v="179"/>
    <m/>
    <x v="86"/>
    <m/>
    <n v="788"/>
    <m/>
    <m/>
    <n v="94"/>
    <m/>
    <n v="200"/>
    <m/>
    <m/>
    <m/>
    <m/>
    <m/>
    <m/>
    <m/>
    <e v="#REF!"/>
    <m/>
    <m/>
    <m/>
    <m/>
    <m/>
    <m/>
    <m/>
    <m/>
    <m/>
    <s v="Túnel completo-Vol 105"/>
    <m/>
  </r>
  <r>
    <n v="26"/>
    <x v="1"/>
    <n v="2024"/>
    <x v="3"/>
    <x v="75"/>
    <s v="Galeria 01 - CI"/>
    <n v="26"/>
    <n v="121"/>
    <m/>
    <n v="121"/>
    <m/>
    <n v="121"/>
    <m/>
    <m/>
    <n v="121"/>
    <m/>
    <x v="9"/>
    <m/>
    <n v="131"/>
    <m/>
    <m/>
    <n v="0"/>
    <m/>
    <n v="200"/>
    <m/>
    <m/>
    <m/>
    <m/>
    <m/>
    <m/>
    <m/>
    <e v="#REF!"/>
    <m/>
    <m/>
    <m/>
    <m/>
    <m/>
    <m/>
    <m/>
    <m/>
    <m/>
    <s v="Galeria 01 - CI-Vol 26"/>
    <m/>
  </r>
  <r>
    <n v="106"/>
    <x v="0"/>
    <n v="2024"/>
    <x v="3"/>
    <x v="75"/>
    <s v="Túnel completo"/>
    <n v="106"/>
    <n v="186"/>
    <n v="0"/>
    <n v="186"/>
    <m/>
    <n v="186"/>
    <m/>
    <m/>
    <n v="186"/>
    <m/>
    <x v="87"/>
    <m/>
    <n v="860"/>
    <m/>
    <m/>
    <n v="130"/>
    <m/>
    <n v="200"/>
    <m/>
    <m/>
    <m/>
    <m/>
    <m/>
    <m/>
    <m/>
    <e v="#REF!"/>
    <m/>
    <m/>
    <m/>
    <m/>
    <m/>
    <m/>
    <m/>
    <m/>
    <m/>
    <s v="Túnel completo-Vol 106"/>
    <m/>
  </r>
  <r>
    <n v="27"/>
    <x v="1"/>
    <n v="2024"/>
    <x v="3"/>
    <x v="75"/>
    <s v="GAL 01 y GAL 02"/>
    <n v="27"/>
    <n v="41"/>
    <n v="0"/>
    <n v="41"/>
    <m/>
    <n v="41"/>
    <m/>
    <m/>
    <n v="41"/>
    <m/>
    <x v="88"/>
    <m/>
    <n v="21"/>
    <m/>
    <m/>
    <n v="0"/>
    <m/>
    <n v="200"/>
    <m/>
    <m/>
    <m/>
    <m/>
    <m/>
    <m/>
    <m/>
    <e v="#REF!"/>
    <m/>
    <m/>
    <m/>
    <m/>
    <m/>
    <m/>
    <m/>
    <m/>
    <m/>
    <s v="GAL 01 y GAL 02-Vol 27"/>
    <m/>
  </r>
  <r>
    <n v="107"/>
    <x v="0"/>
    <n v="2024"/>
    <x v="3"/>
    <x v="76"/>
    <s v="Túnel completo"/>
    <n v="107"/>
    <n v="175"/>
    <n v="0"/>
    <n v="175"/>
    <m/>
    <n v="175"/>
    <m/>
    <m/>
    <n v="175"/>
    <m/>
    <x v="33"/>
    <m/>
    <n v="721.5"/>
    <m/>
    <m/>
    <n v="55"/>
    <m/>
    <n v="200"/>
    <m/>
    <m/>
    <m/>
    <m/>
    <m/>
    <m/>
    <m/>
    <e v="#REF!"/>
    <m/>
    <m/>
    <m/>
    <m/>
    <m/>
    <m/>
    <m/>
    <m/>
    <m/>
    <s v="Túnel completo-Vol 107"/>
    <m/>
  </r>
  <r>
    <n v="28"/>
    <x v="1"/>
    <n v="2024"/>
    <x v="3"/>
    <x v="76"/>
    <s v="Galeria 01 - CI"/>
    <n v="28"/>
    <n v="87"/>
    <m/>
    <n v="87"/>
    <m/>
    <n v="87"/>
    <m/>
    <m/>
    <n v="87"/>
    <m/>
    <x v="9"/>
    <m/>
    <n v="209"/>
    <m/>
    <m/>
    <n v="0"/>
    <m/>
    <n v="200"/>
    <m/>
    <m/>
    <m/>
    <m/>
    <m/>
    <m/>
    <m/>
    <e v="#REF!"/>
    <m/>
    <m/>
    <m/>
    <m/>
    <m/>
    <m/>
    <m/>
    <m/>
    <m/>
    <s v="Galeria 01 - CI-Vol 28"/>
    <m/>
  </r>
  <r>
    <n v="108"/>
    <x v="0"/>
    <n v="2024"/>
    <x v="3"/>
    <x v="76"/>
    <s v="Túnel completo"/>
    <n v="108"/>
    <n v="176"/>
    <n v="0"/>
    <n v="176"/>
    <m/>
    <n v="176"/>
    <m/>
    <m/>
    <n v="176"/>
    <m/>
    <x v="89"/>
    <m/>
    <n v="866.5"/>
    <m/>
    <m/>
    <n v="120"/>
    <m/>
    <n v="200"/>
    <m/>
    <m/>
    <m/>
    <m/>
    <m/>
    <m/>
    <m/>
    <e v="#REF!"/>
    <m/>
    <m/>
    <m/>
    <m/>
    <m/>
    <m/>
    <m/>
    <m/>
    <m/>
    <s v="Túnel completo-Vol 108"/>
    <m/>
  </r>
  <r>
    <n v="29"/>
    <x v="1"/>
    <n v="2024"/>
    <x v="3"/>
    <x v="76"/>
    <s v="Galeria 01 y Galería 02- CI "/>
    <n v="29"/>
    <n v="144"/>
    <n v="0"/>
    <n v="144"/>
    <m/>
    <n v="144"/>
    <m/>
    <m/>
    <n v="144"/>
    <m/>
    <x v="90"/>
    <m/>
    <n v="211"/>
    <m/>
    <m/>
    <n v="0"/>
    <m/>
    <n v="200"/>
    <m/>
    <m/>
    <m/>
    <m/>
    <m/>
    <m/>
    <m/>
    <e v="#REF!"/>
    <m/>
    <m/>
    <m/>
    <m/>
    <m/>
    <m/>
    <m/>
    <m/>
    <m/>
    <s v="Galeria 01 y Galería 02- CI -Vol 29"/>
    <m/>
  </r>
  <r>
    <n v="109"/>
    <x v="0"/>
    <n v="2024"/>
    <x v="3"/>
    <x v="77"/>
    <s v="Túnel completo"/>
    <n v="109"/>
    <n v="176"/>
    <n v="0"/>
    <n v="176"/>
    <m/>
    <n v="176"/>
    <m/>
    <m/>
    <n v="176"/>
    <m/>
    <x v="10"/>
    <m/>
    <n v="854.5"/>
    <m/>
    <m/>
    <n v="109"/>
    <m/>
    <n v="200"/>
    <m/>
    <m/>
    <m/>
    <m/>
    <m/>
    <m/>
    <m/>
    <e v="#REF!"/>
    <m/>
    <m/>
    <m/>
    <m/>
    <m/>
    <m/>
    <m/>
    <m/>
    <m/>
    <s v="Túnel completo-Vol 109"/>
    <m/>
  </r>
  <r>
    <n v="30"/>
    <x v="1"/>
    <n v="2024"/>
    <x v="3"/>
    <x v="77"/>
    <s v="Galeria 01 y Galería 02- CI "/>
    <n v="30"/>
    <n v="152"/>
    <n v="0"/>
    <n v="152"/>
    <m/>
    <n v="152"/>
    <m/>
    <m/>
    <n v="152"/>
    <m/>
    <x v="88"/>
    <m/>
    <n v="323"/>
    <m/>
    <m/>
    <n v="40"/>
    <n v="200"/>
    <m/>
    <m/>
    <m/>
    <m/>
    <m/>
    <m/>
    <m/>
    <m/>
    <e v="#REF!"/>
    <m/>
    <m/>
    <m/>
    <m/>
    <m/>
    <m/>
    <m/>
    <m/>
    <m/>
    <s v="Galeria 01 y Galería 02- CI -Vol 30"/>
    <m/>
  </r>
  <r>
    <n v="110"/>
    <x v="0"/>
    <n v="2024"/>
    <x v="3"/>
    <x v="77"/>
    <s v="Túnel completo"/>
    <n v="110"/>
    <n v="182"/>
    <n v="0"/>
    <n v="182"/>
    <m/>
    <n v="182"/>
    <m/>
    <m/>
    <n v="182"/>
    <m/>
    <x v="90"/>
    <m/>
    <n v="890"/>
    <m/>
    <m/>
    <n v="92"/>
    <m/>
    <n v="200"/>
    <m/>
    <m/>
    <m/>
    <m/>
    <m/>
    <m/>
    <m/>
    <e v="#REF!"/>
    <m/>
    <m/>
    <m/>
    <m/>
    <m/>
    <m/>
    <m/>
    <m/>
    <m/>
    <s v="Túnel completo-Vol 110"/>
    <m/>
  </r>
  <r>
    <n v="111"/>
    <x v="0"/>
    <n v="2024"/>
    <x v="3"/>
    <x v="78"/>
    <s v="Túnel completo"/>
    <n v="111"/>
    <n v="171"/>
    <n v="0"/>
    <n v="171"/>
    <m/>
    <n v="171"/>
    <m/>
    <m/>
    <n v="171"/>
    <m/>
    <x v="52"/>
    <m/>
    <n v="876.5"/>
    <m/>
    <m/>
    <n v="110"/>
    <m/>
    <n v="200"/>
    <m/>
    <m/>
    <m/>
    <m/>
    <m/>
    <m/>
    <m/>
    <e v="#REF!"/>
    <m/>
    <m/>
    <m/>
    <m/>
    <m/>
    <m/>
    <m/>
    <m/>
    <m/>
    <s v="Túnel completo-Vol 111"/>
    <m/>
  </r>
  <r>
    <n v="31"/>
    <x v="1"/>
    <n v="2024"/>
    <x v="3"/>
    <x v="78"/>
    <s v="Galeria 01 - CI"/>
    <n v="109"/>
    <n v="109"/>
    <n v="0"/>
    <n v="109"/>
    <m/>
    <n v="109"/>
    <m/>
    <m/>
    <n v="109"/>
    <m/>
    <x v="88"/>
    <m/>
    <n v="368"/>
    <m/>
    <m/>
    <n v="40"/>
    <m/>
    <n v="200"/>
    <m/>
    <m/>
    <m/>
    <m/>
    <m/>
    <m/>
    <m/>
    <e v="#REF!"/>
    <m/>
    <m/>
    <m/>
    <m/>
    <m/>
    <m/>
    <m/>
    <m/>
    <m/>
    <s v="Galeria 01 - CI-Vol 109"/>
    <m/>
  </r>
  <r>
    <n v="112"/>
    <x v="0"/>
    <n v="2024"/>
    <x v="3"/>
    <x v="78"/>
    <s v="Túnel completo"/>
    <n v="112"/>
    <n v="143"/>
    <n v="0"/>
    <n v="143"/>
    <m/>
    <n v="143"/>
    <m/>
    <m/>
    <n v="143"/>
    <m/>
    <x v="91"/>
    <m/>
    <n v="376.5"/>
    <m/>
    <m/>
    <n v="80"/>
    <m/>
    <n v="200"/>
    <m/>
    <m/>
    <m/>
    <m/>
    <m/>
    <m/>
    <m/>
    <e v="#REF!"/>
    <m/>
    <m/>
    <m/>
    <m/>
    <m/>
    <m/>
    <m/>
    <m/>
    <m/>
    <s v="Túnel completo-Vol 112"/>
    <m/>
  </r>
  <r>
    <n v="113"/>
    <x v="0"/>
    <n v="2024"/>
    <x v="3"/>
    <x v="79"/>
    <s v="Túnel completo"/>
    <n v="113"/>
    <n v="155"/>
    <n v="0"/>
    <n v="155"/>
    <m/>
    <n v="155"/>
    <m/>
    <m/>
    <n v="155"/>
    <m/>
    <x v="66"/>
    <m/>
    <n v="441"/>
    <m/>
    <m/>
    <n v="50"/>
    <m/>
    <n v="200"/>
    <m/>
    <m/>
    <m/>
    <m/>
    <m/>
    <m/>
    <m/>
    <e v="#REF!"/>
    <m/>
    <m/>
    <m/>
    <m/>
    <m/>
    <m/>
    <m/>
    <m/>
    <m/>
    <s v="Túnel completo-Vol 113"/>
    <m/>
  </r>
  <r>
    <n v="32"/>
    <x v="1"/>
    <n v="2024"/>
    <x v="3"/>
    <x v="79"/>
    <s v="Galeria 01 - CI"/>
    <n v="115"/>
    <n v="115"/>
    <n v="0"/>
    <n v="115"/>
    <m/>
    <n v="115"/>
    <m/>
    <m/>
    <n v="115"/>
    <m/>
    <x v="9"/>
    <m/>
    <n v="92.82"/>
    <m/>
    <m/>
    <n v="40"/>
    <m/>
    <n v="200"/>
    <m/>
    <m/>
    <m/>
    <m/>
    <m/>
    <m/>
    <m/>
    <e v="#REF!"/>
    <m/>
    <m/>
    <m/>
    <m/>
    <m/>
    <m/>
    <m/>
    <m/>
    <m/>
    <s v="Galeria 01 - CI-Vol 115"/>
    <m/>
  </r>
  <r>
    <n v="33"/>
    <x v="1"/>
    <n v="2024"/>
    <x v="3"/>
    <x v="79"/>
    <s v="Galeria 01 - CI"/>
    <n v="108"/>
    <n v="108"/>
    <n v="0"/>
    <n v="108"/>
    <m/>
    <n v="108"/>
    <m/>
    <m/>
    <n v="108"/>
    <m/>
    <x v="9"/>
    <m/>
    <n v="92.82"/>
    <m/>
    <m/>
    <n v="40"/>
    <m/>
    <n v="200"/>
    <m/>
    <m/>
    <m/>
    <m/>
    <m/>
    <m/>
    <m/>
    <e v="#REF!"/>
    <m/>
    <m/>
    <m/>
    <m/>
    <m/>
    <m/>
    <m/>
    <m/>
    <m/>
    <s v="Galeria 01 - CI-Vol 108"/>
    <m/>
  </r>
  <r>
    <n v="114"/>
    <x v="0"/>
    <n v="2024"/>
    <x v="3"/>
    <x v="79"/>
    <s v="Túnel completo"/>
    <n v="114"/>
    <n v="149"/>
    <n v="0"/>
    <n v="149"/>
    <m/>
    <n v="149"/>
    <m/>
    <m/>
    <n v="149"/>
    <m/>
    <x v="92"/>
    <m/>
    <n v="188"/>
    <m/>
    <m/>
    <n v="0"/>
    <m/>
    <n v="200"/>
    <m/>
    <m/>
    <m/>
    <m/>
    <m/>
    <m/>
    <m/>
    <e v="#REF!"/>
    <m/>
    <m/>
    <m/>
    <m/>
    <m/>
    <m/>
    <m/>
    <m/>
    <m/>
    <s v="Túnel completo-Vol 114"/>
    <m/>
  </r>
  <r>
    <n v="115"/>
    <x v="0"/>
    <n v="2024"/>
    <x v="3"/>
    <x v="80"/>
    <s v="Túnel completo"/>
    <n v="115"/>
    <n v="74"/>
    <n v="0"/>
    <n v="74"/>
    <m/>
    <n v="74"/>
    <m/>
    <m/>
    <n v="74"/>
    <m/>
    <x v="93"/>
    <m/>
    <n v="110"/>
    <m/>
    <m/>
    <n v="0"/>
    <m/>
    <n v="200"/>
    <m/>
    <m/>
    <m/>
    <m/>
    <m/>
    <m/>
    <m/>
    <e v="#REF!"/>
    <m/>
    <m/>
    <m/>
    <m/>
    <m/>
    <m/>
    <m/>
    <m/>
    <m/>
    <s v="Túnel completo-Vol 115"/>
    <m/>
  </r>
  <r>
    <n v="116"/>
    <x v="0"/>
    <n v="2024"/>
    <x v="3"/>
    <x v="80"/>
    <s v="Túnel completo"/>
    <n v="116"/>
    <n v="69"/>
    <n v="0"/>
    <n v="69"/>
    <m/>
    <n v="69"/>
    <m/>
    <m/>
    <n v="69"/>
    <m/>
    <x v="94"/>
    <m/>
    <n v="139"/>
    <m/>
    <m/>
    <n v="0"/>
    <m/>
    <n v="200"/>
    <m/>
    <m/>
    <m/>
    <m/>
    <m/>
    <m/>
    <m/>
    <e v="#REF!"/>
    <m/>
    <m/>
    <m/>
    <m/>
    <m/>
    <m/>
    <m/>
    <m/>
    <m/>
    <s v="Túnel completo-Vol 116"/>
    <m/>
  </r>
  <r>
    <n v="34"/>
    <x v="1"/>
    <n v="2024"/>
    <x v="3"/>
    <x v="80"/>
    <s v="Galeria 01 - CI"/>
    <n v="34"/>
    <n v="110"/>
    <n v="0"/>
    <n v="110"/>
    <m/>
    <n v="110"/>
    <m/>
    <m/>
    <n v="110"/>
    <m/>
    <x v="0"/>
    <m/>
    <m/>
    <m/>
    <m/>
    <n v="60"/>
    <m/>
    <n v="200"/>
    <m/>
    <m/>
    <m/>
    <m/>
    <m/>
    <m/>
    <m/>
    <e v="#REF!"/>
    <m/>
    <m/>
    <m/>
    <m/>
    <m/>
    <m/>
    <m/>
    <m/>
    <m/>
    <s v="Galeria 01 - CI-Vol 34"/>
    <m/>
  </r>
  <r>
    <n v="117"/>
    <x v="0"/>
    <n v="2024"/>
    <x v="3"/>
    <x v="81"/>
    <s v="Túnel completo"/>
    <n v="117"/>
    <n v="31"/>
    <n v="0"/>
    <n v="31"/>
    <m/>
    <n v="31"/>
    <m/>
    <m/>
    <n v="31"/>
    <m/>
    <x v="95"/>
    <m/>
    <n v="50"/>
    <m/>
    <m/>
    <n v="0"/>
    <m/>
    <n v="200"/>
    <m/>
    <m/>
    <m/>
    <m/>
    <m/>
    <m/>
    <m/>
    <e v="#REF!"/>
    <m/>
    <m/>
    <m/>
    <m/>
    <m/>
    <m/>
    <m/>
    <m/>
    <m/>
    <s v="Túnel completo-Vol 117"/>
    <m/>
  </r>
  <r>
    <n v="35"/>
    <x v="1"/>
    <n v="2024"/>
    <x v="3"/>
    <x v="81"/>
    <s v="Galeria 01 - CI"/>
    <n v="104"/>
    <n v="104"/>
    <n v="0"/>
    <n v="104"/>
    <m/>
    <n v="104"/>
    <m/>
    <m/>
    <n v="104"/>
    <m/>
    <x v="9"/>
    <m/>
    <n v="92.82"/>
    <m/>
    <m/>
    <n v="60"/>
    <m/>
    <n v="200"/>
    <m/>
    <m/>
    <m/>
    <m/>
    <m/>
    <m/>
    <m/>
    <e v="#REF!"/>
    <m/>
    <m/>
    <m/>
    <m/>
    <m/>
    <m/>
    <m/>
    <m/>
    <m/>
    <s v="Galeria 01 - CI-Vol 104"/>
    <m/>
  </r>
  <r>
    <n v="118"/>
    <x v="0"/>
    <n v="2024"/>
    <x v="3"/>
    <x v="81"/>
    <s v="Túnel completo"/>
    <n v="118"/>
    <n v="98"/>
    <n v="0"/>
    <n v="98"/>
    <m/>
    <n v="98"/>
    <m/>
    <m/>
    <n v="98"/>
    <m/>
    <x v="31"/>
    <m/>
    <n v="139.5"/>
    <m/>
    <m/>
    <n v="0"/>
    <m/>
    <n v="200"/>
    <m/>
    <m/>
    <m/>
    <m/>
    <m/>
    <m/>
    <m/>
    <e v="#REF!"/>
    <m/>
    <m/>
    <m/>
    <m/>
    <m/>
    <m/>
    <m/>
    <m/>
    <m/>
    <s v="Túnel completo-Vol 118"/>
    <m/>
  </r>
  <r>
    <n v="119"/>
    <x v="0"/>
    <n v="2024"/>
    <x v="3"/>
    <x v="82"/>
    <s v="Túnel completo"/>
    <n v="119"/>
    <n v="149"/>
    <n v="0"/>
    <n v="149"/>
    <m/>
    <n v="149"/>
    <m/>
    <m/>
    <n v="149"/>
    <m/>
    <x v="96"/>
    <m/>
    <n v="247"/>
    <m/>
    <m/>
    <n v="80"/>
    <m/>
    <n v="200"/>
    <m/>
    <m/>
    <m/>
    <m/>
    <m/>
    <m/>
    <m/>
    <e v="#REF!"/>
    <m/>
    <m/>
    <m/>
    <m/>
    <m/>
    <m/>
    <m/>
    <m/>
    <m/>
    <s v="Túnel completo-Vol 119"/>
    <m/>
  </r>
  <r>
    <n v="36"/>
    <x v="1"/>
    <n v="2024"/>
    <x v="3"/>
    <x v="81"/>
    <s v="Galeria 01 - CI"/>
    <n v="109"/>
    <n v="109"/>
    <n v="0"/>
    <n v="109"/>
    <m/>
    <n v="109"/>
    <m/>
    <m/>
    <n v="109"/>
    <m/>
    <x v="0"/>
    <m/>
    <n v="98.67"/>
    <m/>
    <m/>
    <n v="0"/>
    <m/>
    <n v="200"/>
    <m/>
    <m/>
    <m/>
    <m/>
    <m/>
    <m/>
    <m/>
    <e v="#REF!"/>
    <m/>
    <m/>
    <m/>
    <m/>
    <m/>
    <m/>
    <m/>
    <m/>
    <m/>
    <s v="Galeria 01 - CI-Vol 109"/>
    <m/>
  </r>
  <r>
    <n v="37"/>
    <x v="1"/>
    <n v="2024"/>
    <x v="3"/>
    <x v="82"/>
    <s v="Galeria 01 - CI"/>
    <n v="113"/>
    <n v="113"/>
    <n v="0"/>
    <n v="113"/>
    <m/>
    <n v="113"/>
    <m/>
    <m/>
    <n v="113"/>
    <m/>
    <x v="0"/>
    <m/>
    <n v="98.13"/>
    <m/>
    <m/>
    <n v="0"/>
    <m/>
    <n v="200"/>
    <m/>
    <m/>
    <m/>
    <m/>
    <m/>
    <m/>
    <m/>
    <e v="#REF!"/>
    <m/>
    <m/>
    <m/>
    <m/>
    <m/>
    <m/>
    <m/>
    <m/>
    <m/>
    <s v="Galeria 01 - CI-Vol 113"/>
    <m/>
  </r>
  <r>
    <n v="38"/>
    <x v="1"/>
    <n v="2024"/>
    <x v="3"/>
    <x v="82"/>
    <s v="Galeria 01 - CI"/>
    <n v="38"/>
    <n v="40"/>
    <n v="0"/>
    <n v="40"/>
    <m/>
    <n v="40"/>
    <m/>
    <m/>
    <n v="40"/>
    <m/>
    <x v="0"/>
    <m/>
    <n v="22.07"/>
    <m/>
    <m/>
    <n v="0"/>
    <m/>
    <n v="200"/>
    <m/>
    <m/>
    <m/>
    <m/>
    <m/>
    <m/>
    <m/>
    <e v="#REF!"/>
    <m/>
    <m/>
    <m/>
    <m/>
    <m/>
    <m/>
    <m/>
    <m/>
    <m/>
    <s v="Galeria 01 - CI-Vol 38"/>
    <m/>
  </r>
  <r>
    <n v="39"/>
    <x v="1"/>
    <n v="2024"/>
    <x v="3"/>
    <x v="83"/>
    <s v="Galeria 01 - CI"/>
    <n v="39"/>
    <n v="110"/>
    <n v="0"/>
    <n v="110"/>
    <m/>
    <n v="110"/>
    <m/>
    <m/>
    <n v="110"/>
    <m/>
    <x v="0"/>
    <m/>
    <n v="94.01"/>
    <m/>
    <m/>
    <n v="0"/>
    <m/>
    <n v="200"/>
    <m/>
    <m/>
    <m/>
    <m/>
    <m/>
    <m/>
    <m/>
    <e v="#REF!"/>
    <m/>
    <m/>
    <m/>
    <m/>
    <m/>
    <m/>
    <m/>
    <m/>
    <m/>
    <s v="Galeria 01 - CI-Vol 39"/>
    <m/>
  </r>
  <r>
    <n v="120"/>
    <x v="0"/>
    <n v="2024"/>
    <x v="3"/>
    <x v="82"/>
    <s v="Túnel completo"/>
    <n v="120"/>
    <n v="165"/>
    <n v="0"/>
    <n v="165"/>
    <m/>
    <n v="165"/>
    <m/>
    <m/>
    <n v="165"/>
    <m/>
    <x v="97"/>
    <m/>
    <n v="435"/>
    <m/>
    <m/>
    <n v="0"/>
    <m/>
    <n v="200"/>
    <m/>
    <m/>
    <m/>
    <m/>
    <m/>
    <m/>
    <m/>
    <e v="#REF!"/>
    <m/>
    <m/>
    <m/>
    <m/>
    <m/>
    <m/>
    <m/>
    <m/>
    <m/>
    <s v="Túnel completo-Vol 120"/>
    <m/>
  </r>
  <r>
    <n v="121"/>
    <x v="0"/>
    <n v="2024"/>
    <x v="3"/>
    <x v="83"/>
    <s v="Túnel completo"/>
    <n v="121"/>
    <n v="150"/>
    <n v="0"/>
    <n v="150"/>
    <m/>
    <n v="150"/>
    <m/>
    <m/>
    <n v="150"/>
    <m/>
    <x v="31"/>
    <m/>
    <n v="471"/>
    <m/>
    <m/>
    <n v="60"/>
    <m/>
    <n v="200"/>
    <m/>
    <m/>
    <m/>
    <m/>
    <m/>
    <m/>
    <m/>
    <e v="#REF!"/>
    <m/>
    <m/>
    <m/>
    <m/>
    <m/>
    <m/>
    <m/>
    <m/>
    <m/>
    <s v="Túnel completo-Vol 121"/>
    <m/>
  </r>
  <r>
    <n v="40"/>
    <x v="1"/>
    <n v="2024"/>
    <x v="3"/>
    <x v="83"/>
    <s v="Galeria 01 - CI"/>
    <n v="40"/>
    <n v="111"/>
    <n v="0"/>
    <n v="111"/>
    <m/>
    <n v="111"/>
    <m/>
    <m/>
    <n v="111"/>
    <m/>
    <x v="0"/>
    <m/>
    <n v="101.3"/>
    <m/>
    <m/>
    <n v="0"/>
    <m/>
    <n v="200"/>
    <m/>
    <m/>
    <m/>
    <m/>
    <m/>
    <m/>
    <m/>
    <e v="#REF!"/>
    <m/>
    <m/>
    <m/>
    <m/>
    <m/>
    <m/>
    <m/>
    <m/>
    <m/>
    <s v="Galeria 01 - CI-Vol 40"/>
    <m/>
  </r>
  <r>
    <n v="122"/>
    <x v="0"/>
    <n v="2024"/>
    <x v="3"/>
    <x v="83"/>
    <s v="Túnel completo"/>
    <n v="122"/>
    <n v="167"/>
    <n v="0"/>
    <n v="167"/>
    <m/>
    <n v="167"/>
    <m/>
    <m/>
    <n v="167"/>
    <m/>
    <x v="98"/>
    <m/>
    <n v="444"/>
    <m/>
    <m/>
    <n v="105"/>
    <m/>
    <n v="200"/>
    <m/>
    <m/>
    <m/>
    <m/>
    <m/>
    <m/>
    <m/>
    <e v="#REF!"/>
    <m/>
    <m/>
    <m/>
    <m/>
    <m/>
    <m/>
    <m/>
    <m/>
    <m/>
    <s v="Túnel completo-Vol 122"/>
    <m/>
  </r>
  <r>
    <n v="123"/>
    <x v="0"/>
    <n v="2024"/>
    <x v="3"/>
    <x v="84"/>
    <s v="Túnel completo"/>
    <n v="123"/>
    <n v="153"/>
    <n v="0"/>
    <n v="153"/>
    <m/>
    <n v="153"/>
    <m/>
    <m/>
    <n v="153"/>
    <m/>
    <x v="99"/>
    <m/>
    <n v="639"/>
    <m/>
    <m/>
    <n v="120"/>
    <m/>
    <n v="200"/>
    <m/>
    <m/>
    <m/>
    <m/>
    <m/>
    <m/>
    <m/>
    <e v="#REF!"/>
    <m/>
    <m/>
    <m/>
    <m/>
    <m/>
    <m/>
    <m/>
    <m/>
    <m/>
    <s v="Túnel completo-Vol 123"/>
    <m/>
  </r>
  <r>
    <n v="41"/>
    <x v="1"/>
    <n v="2024"/>
    <x v="3"/>
    <x v="84"/>
    <s v="Galeria 01 - CI"/>
    <n v="41"/>
    <n v="99"/>
    <n v="0"/>
    <n v="99"/>
    <m/>
    <n v="99"/>
    <m/>
    <m/>
    <n v="99"/>
    <m/>
    <x v="0"/>
    <m/>
    <n v="89.63"/>
    <m/>
    <m/>
    <n v="0"/>
    <m/>
    <n v="200"/>
    <m/>
    <m/>
    <m/>
    <m/>
    <m/>
    <m/>
    <m/>
    <e v="#REF!"/>
    <m/>
    <m/>
    <m/>
    <m/>
    <m/>
    <m/>
    <m/>
    <m/>
    <m/>
    <s v="Galeria 01 - CI-Vol 41"/>
    <m/>
  </r>
  <r>
    <n v="124"/>
    <x v="0"/>
    <n v="2024"/>
    <x v="3"/>
    <x v="84"/>
    <s v="Túnel completo + banco"/>
    <n v="124"/>
    <n v="162"/>
    <n v="0"/>
    <n v="162"/>
    <m/>
    <n v="144"/>
    <m/>
    <m/>
    <n v="162"/>
    <m/>
    <x v="100"/>
    <m/>
    <n v="424.5"/>
    <m/>
    <m/>
    <n v="86"/>
    <m/>
    <n v="400"/>
    <m/>
    <m/>
    <m/>
    <m/>
    <m/>
    <m/>
    <m/>
    <e v="#REF!"/>
    <m/>
    <m/>
    <m/>
    <m/>
    <m/>
    <m/>
    <m/>
    <m/>
    <m/>
    <s v="Túnel completo + banco-Vol 124"/>
    <m/>
  </r>
  <r>
    <n v="42"/>
    <x v="1"/>
    <n v="2024"/>
    <x v="3"/>
    <x v="84"/>
    <s v="Galeria 01 - CI"/>
    <n v="42"/>
    <n v="127"/>
    <n v="0"/>
    <n v="127"/>
    <m/>
    <n v="127"/>
    <m/>
    <m/>
    <n v="127"/>
    <m/>
    <x v="0"/>
    <m/>
    <n v="94.68"/>
    <m/>
    <m/>
    <n v="0"/>
    <m/>
    <n v="200"/>
    <m/>
    <m/>
    <m/>
    <m/>
    <m/>
    <m/>
    <m/>
    <e v="#REF!"/>
    <m/>
    <m/>
    <m/>
    <m/>
    <m/>
    <m/>
    <m/>
    <m/>
    <m/>
    <s v="Galeria 01 - CI-Vol 42"/>
    <m/>
  </r>
  <r>
    <n v="125"/>
    <x v="0"/>
    <n v="2024"/>
    <x v="3"/>
    <x v="85"/>
    <s v="Túnel completo"/>
    <n v="125"/>
    <n v="160"/>
    <n v="0"/>
    <n v="160"/>
    <m/>
    <n v="160"/>
    <m/>
    <m/>
    <n v="160"/>
    <m/>
    <x v="101"/>
    <m/>
    <s v="676.5"/>
    <m/>
    <m/>
    <n v="80"/>
    <m/>
    <n v="200"/>
    <m/>
    <m/>
    <m/>
    <m/>
    <m/>
    <m/>
    <m/>
    <e v="#REF!"/>
    <m/>
    <m/>
    <m/>
    <m/>
    <m/>
    <m/>
    <m/>
    <m/>
    <m/>
    <s v="Túnel completo-Vol 125"/>
    <m/>
  </r>
  <r>
    <n v="43"/>
    <x v="1"/>
    <n v="2024"/>
    <x v="3"/>
    <x v="85"/>
    <s v="Galeria 01 - CI"/>
    <n v="43"/>
    <n v="103"/>
    <n v="0"/>
    <n v="103"/>
    <m/>
    <n v="103"/>
    <m/>
    <m/>
    <n v="103"/>
    <m/>
    <x v="0"/>
    <m/>
    <n v="90.7"/>
    <m/>
    <m/>
    <n v="30"/>
    <m/>
    <n v="200"/>
    <m/>
    <m/>
    <m/>
    <m/>
    <m/>
    <m/>
    <m/>
    <e v="#REF!"/>
    <m/>
    <m/>
    <m/>
    <m/>
    <m/>
    <m/>
    <m/>
    <m/>
    <m/>
    <s v="Galeria 01 - CI-Vol 43"/>
    <m/>
  </r>
  <r>
    <s v="SECU."/>
    <x v="1"/>
    <n v="2024"/>
    <x v="3"/>
    <x v="85"/>
    <s v="Galeria 01 - CI"/>
    <s v="SECU."/>
    <n v="19"/>
    <n v="0"/>
    <n v="19"/>
    <m/>
    <n v="19"/>
    <m/>
    <m/>
    <n v="19"/>
    <m/>
    <x v="102"/>
    <m/>
    <n v="13.3"/>
    <m/>
    <m/>
    <n v="0"/>
    <m/>
    <n v="200"/>
    <m/>
    <m/>
    <m/>
    <m/>
    <m/>
    <m/>
    <m/>
    <e v="#REF!"/>
    <m/>
    <m/>
    <m/>
    <m/>
    <m/>
    <m/>
    <m/>
    <m/>
    <m/>
    <s v="Galeria 01 - CI-Vol SECU."/>
    <m/>
  </r>
  <r>
    <n v="126"/>
    <x v="0"/>
    <n v="2024"/>
    <x v="3"/>
    <x v="85"/>
    <s v="Túnel completo"/>
    <n v="126"/>
    <n v="155"/>
    <n v="0"/>
    <n v="155"/>
    <m/>
    <n v="155"/>
    <m/>
    <m/>
    <n v="155"/>
    <m/>
    <x v="103"/>
    <m/>
    <s v="534.5"/>
    <m/>
    <m/>
    <n v="0"/>
    <m/>
    <n v="200"/>
    <m/>
    <m/>
    <m/>
    <m/>
    <m/>
    <m/>
    <m/>
    <e v="#REF!"/>
    <m/>
    <m/>
    <m/>
    <m/>
    <m/>
    <m/>
    <m/>
    <m/>
    <m/>
    <s v="Túnel completo-Vol 126"/>
    <m/>
  </r>
  <r>
    <n v="44"/>
    <x v="1"/>
    <n v="2024"/>
    <x v="3"/>
    <x v="86"/>
    <s v="Galeria 01 - CI"/>
    <n v="44"/>
    <n v="106"/>
    <n v="0"/>
    <n v="106"/>
    <m/>
    <n v="106"/>
    <m/>
    <m/>
    <n v="106"/>
    <m/>
    <x v="0"/>
    <m/>
    <n v="69.150000000000006"/>
    <m/>
    <m/>
    <n v="40"/>
    <m/>
    <n v="200"/>
    <m/>
    <m/>
    <m/>
    <m/>
    <m/>
    <m/>
    <m/>
    <e v="#REF!"/>
    <m/>
    <m/>
    <m/>
    <m/>
    <m/>
    <m/>
    <m/>
    <m/>
    <m/>
    <s v="Galeria 01 - CI-Vol 44"/>
    <m/>
  </r>
  <r>
    <n v="45"/>
    <x v="1"/>
    <n v="2024"/>
    <x v="3"/>
    <x v="86"/>
    <s v="Galeria 01 - CI"/>
    <n v="45"/>
    <n v="119"/>
    <n v="0"/>
    <n v="119"/>
    <m/>
    <n v="119"/>
    <m/>
    <m/>
    <n v="119"/>
    <m/>
    <x v="0"/>
    <m/>
    <m/>
    <m/>
    <m/>
    <m/>
    <m/>
    <n v="200"/>
    <m/>
    <m/>
    <m/>
    <m/>
    <m/>
    <m/>
    <m/>
    <e v="#REF!"/>
    <m/>
    <m/>
    <m/>
    <m/>
    <m/>
    <m/>
    <m/>
    <m/>
    <m/>
    <s v="Galeria 01 - CI-Vol 45"/>
    <m/>
  </r>
  <r>
    <n v="127"/>
    <x v="0"/>
    <n v="2024"/>
    <x v="3"/>
    <x v="86"/>
    <s v="Túnel completo"/>
    <n v="136"/>
    <n v="136"/>
    <n v="0"/>
    <n v="136"/>
    <m/>
    <n v="136"/>
    <m/>
    <m/>
    <n v="136"/>
    <m/>
    <x v="20"/>
    <m/>
    <n v="372"/>
    <m/>
    <m/>
    <n v="80"/>
    <m/>
    <n v="400"/>
    <m/>
    <m/>
    <m/>
    <m/>
    <m/>
    <m/>
    <m/>
    <e v="#REF!"/>
    <m/>
    <m/>
    <m/>
    <m/>
    <m/>
    <m/>
    <m/>
    <m/>
    <m/>
    <s v="Túnel completo-Vol 136"/>
    <m/>
  </r>
  <r>
    <n v="128"/>
    <x v="0"/>
    <n v="2024"/>
    <x v="3"/>
    <x v="86"/>
    <s v="Túnel completo"/>
    <n v="128"/>
    <n v="153"/>
    <n v="0"/>
    <n v="153"/>
    <m/>
    <n v="153"/>
    <m/>
    <m/>
    <n v="153"/>
    <m/>
    <x v="72"/>
    <m/>
    <n v="500"/>
    <m/>
    <m/>
    <n v="10"/>
    <m/>
    <n v="200"/>
    <m/>
    <m/>
    <m/>
    <m/>
    <m/>
    <m/>
    <m/>
    <e v="#REF!"/>
    <m/>
    <m/>
    <m/>
    <m/>
    <m/>
    <m/>
    <m/>
    <m/>
    <m/>
    <s v="Túnel completo-Vol 128"/>
    <m/>
  </r>
  <r>
    <n v="129"/>
    <x v="0"/>
    <n v="2024"/>
    <x v="3"/>
    <x v="87"/>
    <s v="Túnel completo + banco"/>
    <n v="129"/>
    <n v="156"/>
    <n v="0"/>
    <n v="156"/>
    <m/>
    <n v="139"/>
    <m/>
    <m/>
    <n v="139"/>
    <m/>
    <x v="104"/>
    <m/>
    <s v="459.5"/>
    <m/>
    <m/>
    <n v="40"/>
    <m/>
    <n v="400"/>
    <m/>
    <m/>
    <m/>
    <m/>
    <m/>
    <m/>
    <m/>
    <e v="#REF!"/>
    <m/>
    <m/>
    <m/>
    <m/>
    <m/>
    <m/>
    <m/>
    <m/>
    <m/>
    <s v="Túnel completo + banco-Vol 129"/>
    <m/>
  </r>
  <r>
    <n v="46"/>
    <x v="1"/>
    <n v="2024"/>
    <x v="3"/>
    <x v="87"/>
    <s v="Galeria 01 - CI"/>
    <n v="46"/>
    <n v="155"/>
    <n v="0"/>
    <n v="155"/>
    <m/>
    <n v="155"/>
    <m/>
    <m/>
    <n v="155"/>
    <m/>
    <x v="1"/>
    <m/>
    <n v="75.27"/>
    <m/>
    <m/>
    <m/>
    <m/>
    <n v="200"/>
    <m/>
    <m/>
    <m/>
    <m/>
    <m/>
    <m/>
    <m/>
    <e v="#REF!"/>
    <m/>
    <m/>
    <m/>
    <m/>
    <m/>
    <m/>
    <m/>
    <m/>
    <m/>
    <s v="Galeria 01 - CI-Vol 46"/>
    <m/>
  </r>
  <r>
    <n v="47"/>
    <x v="1"/>
    <n v="2024"/>
    <x v="3"/>
    <x v="87"/>
    <s v="Galeria 01 - CI"/>
    <n v="47"/>
    <n v="108"/>
    <n v="0"/>
    <n v="108"/>
    <m/>
    <n v="108"/>
    <m/>
    <m/>
    <n v="108"/>
    <m/>
    <x v="0"/>
    <m/>
    <m/>
    <m/>
    <m/>
    <m/>
    <m/>
    <n v="200"/>
    <m/>
    <m/>
    <m/>
    <m/>
    <m/>
    <m/>
    <m/>
    <e v="#REF!"/>
    <m/>
    <m/>
    <m/>
    <m/>
    <m/>
    <m/>
    <m/>
    <m/>
    <m/>
    <s v="Galeria 01 - CI-Vol 47"/>
    <m/>
  </r>
  <r>
    <n v="130"/>
    <x v="0"/>
    <n v="2024"/>
    <x v="3"/>
    <x v="87"/>
    <s v="Túnel completo"/>
    <n v="130"/>
    <n v="143"/>
    <n v="0"/>
    <n v="143"/>
    <m/>
    <n v="143"/>
    <m/>
    <m/>
    <n v="143"/>
    <m/>
    <x v="105"/>
    <m/>
    <n v="359"/>
    <m/>
    <m/>
    <n v="60"/>
    <m/>
    <n v="200"/>
    <m/>
    <m/>
    <m/>
    <m/>
    <m/>
    <m/>
    <m/>
    <e v="#REF!"/>
    <m/>
    <m/>
    <m/>
    <m/>
    <m/>
    <m/>
    <m/>
    <m/>
    <m/>
    <s v="Túnel completo-Vol 130"/>
    <m/>
  </r>
  <r>
    <n v="48"/>
    <x v="1"/>
    <n v="2024"/>
    <x v="3"/>
    <x v="88"/>
    <s v="Galeria 01 - CI"/>
    <n v="48"/>
    <n v="120"/>
    <n v="0"/>
    <n v="120"/>
    <m/>
    <n v="120"/>
    <m/>
    <m/>
    <n v="120"/>
    <m/>
    <x v="106"/>
    <m/>
    <n v="350"/>
    <m/>
    <m/>
    <m/>
    <m/>
    <n v="200"/>
    <m/>
    <m/>
    <m/>
    <m/>
    <m/>
    <m/>
    <m/>
    <e v="#REF!"/>
    <m/>
    <m/>
    <m/>
    <m/>
    <m/>
    <m/>
    <m/>
    <m/>
    <m/>
    <s v="Galeria 01 - CI-Vol 48"/>
    <m/>
  </r>
  <r>
    <n v="131"/>
    <x v="0"/>
    <n v="2024"/>
    <x v="3"/>
    <x v="88"/>
    <s v="Túnel completo"/>
    <n v="131"/>
    <n v="138"/>
    <n v="0"/>
    <n v="138"/>
    <m/>
    <n v="138"/>
    <m/>
    <m/>
    <n v="138"/>
    <m/>
    <x v="107"/>
    <m/>
    <n v="456"/>
    <m/>
    <m/>
    <n v="30"/>
    <m/>
    <n v="200"/>
    <m/>
    <m/>
    <m/>
    <m/>
    <m/>
    <m/>
    <m/>
    <e v="#REF!"/>
    <m/>
    <m/>
    <m/>
    <m/>
    <m/>
    <m/>
    <m/>
    <m/>
    <m/>
    <s v="Túnel completo-Vol 131"/>
    <m/>
  </r>
  <r>
    <n v="132"/>
    <x v="0"/>
    <n v="2024"/>
    <x v="3"/>
    <x v="88"/>
    <s v="Túnel completo"/>
    <n v="132"/>
    <n v="151"/>
    <n v="0"/>
    <n v="151"/>
    <m/>
    <n v="151"/>
    <m/>
    <m/>
    <n v="151"/>
    <m/>
    <x v="108"/>
    <m/>
    <s v="500.5"/>
    <m/>
    <m/>
    <n v="62"/>
    <m/>
    <n v="200"/>
    <m/>
    <m/>
    <m/>
    <m/>
    <m/>
    <m/>
    <m/>
    <e v="#REF!"/>
    <m/>
    <m/>
    <m/>
    <m/>
    <m/>
    <m/>
    <m/>
    <m/>
    <m/>
    <s v="Túnel completo-Vol 132"/>
    <m/>
  </r>
  <r>
    <n v="49"/>
    <x v="1"/>
    <n v="2024"/>
    <x v="3"/>
    <x v="88"/>
    <s v="Galeria 01 - CI"/>
    <n v="49"/>
    <n v="97"/>
    <n v="0"/>
    <n v="97"/>
    <m/>
    <n v="97"/>
    <m/>
    <m/>
    <n v="97"/>
    <m/>
    <x v="9"/>
    <n v="0"/>
    <n v="334"/>
    <m/>
    <m/>
    <n v="30"/>
    <m/>
    <n v="200"/>
    <m/>
    <m/>
    <m/>
    <m/>
    <m/>
    <m/>
    <m/>
    <e v="#REF!"/>
    <m/>
    <m/>
    <m/>
    <m/>
    <m/>
    <m/>
    <m/>
    <m/>
    <m/>
    <s v="Galeria 01 - CI-Vol 49"/>
    <m/>
  </r>
  <r>
    <n v="133"/>
    <x v="0"/>
    <n v="2024"/>
    <x v="3"/>
    <x v="89"/>
    <s v="Túnel completo"/>
    <n v="133"/>
    <n v="156"/>
    <n v="0"/>
    <n v="156"/>
    <m/>
    <n v="156"/>
    <m/>
    <m/>
    <n v="156"/>
    <m/>
    <x v="109"/>
    <n v="138"/>
    <n v="500"/>
    <m/>
    <m/>
    <n v="115"/>
    <m/>
    <n v="400"/>
    <m/>
    <m/>
    <m/>
    <m/>
    <m/>
    <m/>
    <m/>
    <e v="#REF!"/>
    <m/>
    <m/>
    <m/>
    <m/>
    <m/>
    <m/>
    <m/>
    <m/>
    <m/>
    <s v="Túnel completo-Vol 133"/>
    <m/>
  </r>
  <r>
    <n v="50"/>
    <x v="1"/>
    <n v="2024"/>
    <x v="3"/>
    <x v="89"/>
    <s v="Galeria 01 - CI"/>
    <n v="50"/>
    <n v="118"/>
    <n v="0"/>
    <n v="118"/>
    <m/>
    <n v="118"/>
    <m/>
    <m/>
    <n v="118"/>
    <m/>
    <x v="9"/>
    <n v="0"/>
    <n v="375"/>
    <m/>
    <m/>
    <n v="0"/>
    <m/>
    <n v="200"/>
    <m/>
    <m/>
    <m/>
    <m/>
    <m/>
    <m/>
    <m/>
    <e v="#REF!"/>
    <m/>
    <m/>
    <m/>
    <m/>
    <m/>
    <m/>
    <m/>
    <m/>
    <m/>
    <s v="Galeria 01 - CI-Vol 50"/>
    <m/>
  </r>
  <r>
    <n v="134"/>
    <x v="0"/>
    <n v="2024"/>
    <x v="3"/>
    <x v="89"/>
    <s v="Túnel completo"/>
    <n v="134"/>
    <n v="184"/>
    <n v="0"/>
    <n v="184"/>
    <m/>
    <n v="184"/>
    <m/>
    <m/>
    <n v="184"/>
    <m/>
    <x v="110"/>
    <n v="171"/>
    <n v="630"/>
    <m/>
    <m/>
    <n v="111"/>
    <m/>
    <n v="400"/>
    <m/>
    <m/>
    <m/>
    <m/>
    <m/>
    <m/>
    <m/>
    <e v="#REF!"/>
    <m/>
    <m/>
    <m/>
    <m/>
    <m/>
    <m/>
    <m/>
    <m/>
    <m/>
    <s v="Túnel completo-Vol 134"/>
    <m/>
  </r>
  <r>
    <n v="51"/>
    <x v="1"/>
    <n v="2024"/>
    <x v="3"/>
    <x v="89"/>
    <s v="Galeria 01 - CI"/>
    <n v="51"/>
    <n v="97"/>
    <n v="0"/>
    <n v="97"/>
    <m/>
    <n v="97"/>
    <m/>
    <m/>
    <n v="97"/>
    <m/>
    <x v="9"/>
    <n v="0"/>
    <n v="334"/>
    <m/>
    <m/>
    <n v="20"/>
    <m/>
    <n v="200"/>
    <m/>
    <m/>
    <m/>
    <m/>
    <m/>
    <m/>
    <m/>
    <e v="#REF!"/>
    <m/>
    <m/>
    <m/>
    <m/>
    <m/>
    <m/>
    <m/>
    <m/>
    <m/>
    <s v="Galeria 01 - CI-Vol 51"/>
    <m/>
  </r>
  <r>
    <n v="135"/>
    <x v="0"/>
    <n v="2024"/>
    <x v="3"/>
    <x v="90"/>
    <s v="Túnel completo"/>
    <n v="135"/>
    <n v="158"/>
    <n v="0"/>
    <n v="158"/>
    <m/>
    <n v="158"/>
    <m/>
    <m/>
    <n v="122"/>
    <m/>
    <x v="9"/>
    <n v="0"/>
    <n v="367"/>
    <m/>
    <m/>
    <n v="20"/>
    <m/>
    <n v="200"/>
    <m/>
    <m/>
    <m/>
    <m/>
    <m/>
    <m/>
    <m/>
    <e v="#REF!"/>
    <m/>
    <m/>
    <m/>
    <m/>
    <m/>
    <m/>
    <m/>
    <m/>
    <m/>
    <s v="Túnel completo-Vol 135"/>
    <m/>
  </r>
  <r>
    <n v="52"/>
    <x v="1"/>
    <n v="2024"/>
    <x v="3"/>
    <x v="90"/>
    <s v="Galeria 01 - CI"/>
    <n v="52"/>
    <n v="122"/>
    <n v="0"/>
    <n v="122"/>
    <m/>
    <n v="122"/>
    <m/>
    <m/>
    <n v="158"/>
    <m/>
    <x v="111"/>
    <n v="155"/>
    <n v="734"/>
    <m/>
    <m/>
    <n v="91"/>
    <m/>
    <n v="200"/>
    <m/>
    <m/>
    <m/>
    <m/>
    <m/>
    <m/>
    <m/>
    <e v="#REF!"/>
    <m/>
    <m/>
    <m/>
    <m/>
    <m/>
    <m/>
    <m/>
    <m/>
    <m/>
    <s v="Galeria 01 - CI-Vol 52"/>
    <m/>
  </r>
  <r>
    <n v="136"/>
    <x v="0"/>
    <n v="2024"/>
    <x v="3"/>
    <x v="90"/>
    <s v="Túnel completo"/>
    <n v="136"/>
    <n v="179"/>
    <n v="0"/>
    <n v="179"/>
    <m/>
    <n v="174"/>
    <m/>
    <m/>
    <n v="174"/>
    <m/>
    <x v="104"/>
    <n v="307"/>
    <n v="860"/>
    <m/>
    <m/>
    <n v="105"/>
    <m/>
    <n v="200"/>
    <m/>
    <m/>
    <m/>
    <m/>
    <m/>
    <m/>
    <m/>
    <e v="#REF!"/>
    <m/>
    <m/>
    <m/>
    <m/>
    <m/>
    <m/>
    <m/>
    <m/>
    <m/>
    <s v="Túnel completo-Vol 136"/>
    <m/>
  </r>
  <r>
    <n v="53"/>
    <x v="1"/>
    <n v="2024"/>
    <x v="3"/>
    <x v="90"/>
    <s v="Galeria 01 - CI"/>
    <n v="53"/>
    <n v="98"/>
    <n v="0"/>
    <n v="98"/>
    <m/>
    <n v="98"/>
    <m/>
    <m/>
    <n v="98"/>
    <m/>
    <x v="9"/>
    <n v="0"/>
    <n v="382"/>
    <m/>
    <m/>
    <n v="30"/>
    <m/>
    <n v="200"/>
    <m/>
    <m/>
    <m/>
    <m/>
    <m/>
    <m/>
    <m/>
    <e v="#REF!"/>
    <m/>
    <m/>
    <m/>
    <m/>
    <m/>
    <m/>
    <m/>
    <m/>
    <m/>
    <s v="Galeria 01 - CI-Vol 53"/>
    <m/>
  </r>
  <r>
    <n v="137"/>
    <x v="0"/>
    <n v="2024"/>
    <x v="3"/>
    <x v="91"/>
    <s v="Túnel completo"/>
    <n v="137"/>
    <n v="188"/>
    <n v="0"/>
    <n v="188"/>
    <m/>
    <n v="183"/>
    <m/>
    <m/>
    <n v="183"/>
    <m/>
    <x v="112"/>
    <n v="281"/>
    <n v="900"/>
    <m/>
    <m/>
    <n v="150"/>
    <m/>
    <n v="400"/>
    <m/>
    <m/>
    <m/>
    <m/>
    <m/>
    <m/>
    <m/>
    <e v="#REF!"/>
    <m/>
    <m/>
    <m/>
    <m/>
    <m/>
    <m/>
    <m/>
    <m/>
    <m/>
    <s v="Túnel completo-Vol 137"/>
    <m/>
  </r>
  <r>
    <n v="54"/>
    <x v="1"/>
    <n v="2024"/>
    <x v="3"/>
    <x v="91"/>
    <s v="Galeria 01 - CI"/>
    <n v="54"/>
    <n v="117"/>
    <n v="0"/>
    <n v="117"/>
    <m/>
    <n v="117"/>
    <m/>
    <m/>
    <n v="117"/>
    <m/>
    <x v="9"/>
    <n v="0"/>
    <n v="358"/>
    <m/>
    <m/>
    <n v="40"/>
    <m/>
    <n v="200"/>
    <m/>
    <m/>
    <m/>
    <m/>
    <m/>
    <m/>
    <m/>
    <e v="#REF!"/>
    <m/>
    <m/>
    <m/>
    <m/>
    <m/>
    <m/>
    <m/>
    <m/>
    <m/>
    <s v="Galeria 01 - CI-Vol 54"/>
    <m/>
  </r>
  <r>
    <n v="138"/>
    <x v="0"/>
    <n v="2024"/>
    <x v="3"/>
    <x v="91"/>
    <s v="Túnel completo"/>
    <n v="138"/>
    <n v="181"/>
    <n v="0"/>
    <n v="181"/>
    <m/>
    <n v="176"/>
    <m/>
    <m/>
    <n v="181"/>
    <m/>
    <x v="113"/>
    <n v="335"/>
    <n v="860"/>
    <m/>
    <m/>
    <n v="120"/>
    <m/>
    <n v="200"/>
    <m/>
    <m/>
    <m/>
    <m/>
    <m/>
    <m/>
    <m/>
    <e v="#REF!"/>
    <m/>
    <m/>
    <m/>
    <m/>
    <m/>
    <m/>
    <m/>
    <m/>
    <m/>
    <s v="Túnel completo-Vol 138"/>
    <m/>
  </r>
  <r>
    <n v="55"/>
    <x v="1"/>
    <n v="2024"/>
    <x v="3"/>
    <x v="91"/>
    <s v="Galeria 01 - CI"/>
    <n v="55"/>
    <n v="109"/>
    <n v="0"/>
    <n v="109"/>
    <m/>
    <n v="109"/>
    <m/>
    <m/>
    <n v="109"/>
    <m/>
    <x v="9"/>
    <n v="95"/>
    <n v="400"/>
    <m/>
    <m/>
    <n v="30"/>
    <m/>
    <n v="200"/>
    <m/>
    <m/>
    <m/>
    <m/>
    <m/>
    <m/>
    <m/>
    <e v="#REF!"/>
    <m/>
    <m/>
    <m/>
    <m/>
    <m/>
    <m/>
    <m/>
    <m/>
    <m/>
    <s v="Galeria 01 - CI-Vol 55"/>
    <m/>
  </r>
  <r>
    <n v="139"/>
    <x v="0"/>
    <n v="2024"/>
    <x v="4"/>
    <x v="92"/>
    <s v="Túnel completo"/>
    <n v="139"/>
    <n v="159"/>
    <n v="0"/>
    <n v="159"/>
    <m/>
    <n v="154"/>
    <m/>
    <m/>
    <n v="154"/>
    <m/>
    <x v="114"/>
    <n v="215"/>
    <n v="855"/>
    <m/>
    <m/>
    <n v="151"/>
    <m/>
    <n v="200"/>
    <m/>
    <m/>
    <m/>
    <m/>
    <m/>
    <m/>
    <m/>
    <e v="#REF!"/>
    <m/>
    <m/>
    <m/>
    <m/>
    <m/>
    <m/>
    <m/>
    <m/>
    <m/>
    <s v="Túnel completo-Vol 139"/>
    <m/>
  </r>
  <r>
    <n v="56"/>
    <x v="1"/>
    <n v="2024"/>
    <x v="4"/>
    <x v="92"/>
    <s v="Galeria 01 - CI"/>
    <n v="55"/>
    <n v="104"/>
    <n v="0"/>
    <n v="104"/>
    <m/>
    <n v="104"/>
    <m/>
    <m/>
    <n v="104"/>
    <m/>
    <x v="9"/>
    <n v="0"/>
    <n v="400"/>
    <m/>
    <m/>
    <n v="20"/>
    <m/>
    <n v="200"/>
    <m/>
    <m/>
    <m/>
    <m/>
    <m/>
    <m/>
    <m/>
    <e v="#REF!"/>
    <m/>
    <m/>
    <m/>
    <m/>
    <m/>
    <m/>
    <m/>
    <m/>
    <m/>
    <s v="Galeria 01 - CI-Vol 55"/>
    <m/>
  </r>
  <r>
    <n v="140"/>
    <x v="0"/>
    <n v="2024"/>
    <x v="4"/>
    <x v="92"/>
    <s v="Túnel completo"/>
    <n v="140"/>
    <n v="178"/>
    <n v="0"/>
    <n v="178"/>
    <m/>
    <n v="173"/>
    <m/>
    <m/>
    <n v="173"/>
    <m/>
    <x v="115"/>
    <n v="255"/>
    <s v="275.5"/>
    <m/>
    <m/>
    <n v="160"/>
    <m/>
    <n v="200"/>
    <m/>
    <m/>
    <m/>
    <m/>
    <m/>
    <m/>
    <m/>
    <e v="#REF!"/>
    <m/>
    <m/>
    <m/>
    <m/>
    <m/>
    <m/>
    <m/>
    <m/>
    <m/>
    <s v="Túnel completo-Vol 140"/>
    <m/>
  </r>
  <r>
    <n v="141"/>
    <x v="0"/>
    <n v="2024"/>
    <x v="4"/>
    <x v="93"/>
    <s v="Túnel completo + banco"/>
    <n v="141"/>
    <n v="185"/>
    <n v="0"/>
    <n v="185"/>
    <m/>
    <n v="185"/>
    <m/>
    <m/>
    <n v="185"/>
    <m/>
    <x v="116"/>
    <n v="230"/>
    <n v="623"/>
    <m/>
    <m/>
    <n v="160"/>
    <m/>
    <n v="400"/>
    <m/>
    <m/>
    <m/>
    <m/>
    <m/>
    <m/>
    <m/>
    <e v="#REF!"/>
    <m/>
    <m/>
    <m/>
    <m/>
    <m/>
    <m/>
    <m/>
    <m/>
    <m/>
    <s v="Túnel completo + banco-Vol 141"/>
    <m/>
  </r>
  <r>
    <n v="57"/>
    <x v="1"/>
    <n v="2024"/>
    <x v="4"/>
    <x v="92"/>
    <s v="Galeria 01 - CI"/>
    <n v="57"/>
    <n v="103"/>
    <n v="0"/>
    <n v="103"/>
    <m/>
    <n v="103"/>
    <m/>
    <m/>
    <n v="103"/>
    <m/>
    <x v="9"/>
    <n v="0"/>
    <n v="359"/>
    <m/>
    <m/>
    <n v="32"/>
    <m/>
    <n v="200"/>
    <m/>
    <m/>
    <m/>
    <m/>
    <m/>
    <m/>
    <m/>
    <e v="#REF!"/>
    <m/>
    <m/>
    <m/>
    <m/>
    <m/>
    <m/>
    <m/>
    <m/>
    <m/>
    <s v="Galeria 01 - CI-Vol 57"/>
    <m/>
  </r>
  <r>
    <n v="58"/>
    <x v="1"/>
    <n v="2024"/>
    <x v="4"/>
    <x v="93"/>
    <s v="Galeria 01 - CI"/>
    <n v="58"/>
    <n v="116"/>
    <n v="0"/>
    <n v="116"/>
    <m/>
    <n v="116"/>
    <m/>
    <m/>
    <n v="116"/>
    <m/>
    <x v="9"/>
    <n v="0"/>
    <n v="550"/>
    <m/>
    <m/>
    <n v="30"/>
    <m/>
    <n v="200"/>
    <m/>
    <m/>
    <m/>
    <m/>
    <m/>
    <m/>
    <m/>
    <e v="#REF!"/>
    <m/>
    <m/>
    <m/>
    <m/>
    <m/>
    <m/>
    <m/>
    <m/>
    <m/>
    <s v="Galeria 01 - CI-Vol 58"/>
    <m/>
  </r>
  <r>
    <n v="142"/>
    <x v="0"/>
    <n v="2024"/>
    <x v="4"/>
    <x v="93"/>
    <s v="Túnel completo + banco"/>
    <n v="142"/>
    <n v="189"/>
    <n v="0"/>
    <n v="189"/>
    <m/>
    <n v="184"/>
    <m/>
    <m/>
    <n v="184"/>
    <m/>
    <x v="64"/>
    <n v="240"/>
    <n v="944"/>
    <m/>
    <m/>
    <n v="200"/>
    <m/>
    <n v="400"/>
    <m/>
    <m/>
    <m/>
    <m/>
    <m/>
    <m/>
    <m/>
    <e v="#REF!"/>
    <m/>
    <m/>
    <m/>
    <m/>
    <m/>
    <m/>
    <m/>
    <m/>
    <m/>
    <s v="Túnel completo + banco-Vol 142"/>
    <m/>
  </r>
  <r>
    <n v="59"/>
    <x v="1"/>
    <n v="2024"/>
    <x v="4"/>
    <x v="93"/>
    <s v="Galeria 01 - CI"/>
    <n v="59"/>
    <n v="112"/>
    <n v="0"/>
    <n v="112"/>
    <m/>
    <n v="112"/>
    <m/>
    <m/>
    <n v="112"/>
    <m/>
    <x v="117"/>
    <n v="168"/>
    <n v="0"/>
    <m/>
    <m/>
    <n v="100"/>
    <m/>
    <n v="200"/>
    <m/>
    <m/>
    <m/>
    <m/>
    <m/>
    <m/>
    <m/>
    <e v="#REF!"/>
    <m/>
    <m/>
    <m/>
    <m/>
    <m/>
    <m/>
    <m/>
    <m/>
    <m/>
    <s v="Galeria 01 - CI-Vol 59"/>
    <m/>
  </r>
  <r>
    <s v="TSP"/>
    <x v="0"/>
    <n v="2024"/>
    <x v="4"/>
    <x v="93"/>
    <s v="Galeria 01 - CI"/>
    <s v="TSP"/>
    <n v="24"/>
    <n v="0"/>
    <n v="24"/>
    <m/>
    <n v="24"/>
    <m/>
    <m/>
    <n v="24"/>
    <m/>
    <x v="0"/>
    <m/>
    <m/>
    <m/>
    <m/>
    <m/>
    <m/>
    <m/>
    <m/>
    <m/>
    <m/>
    <m/>
    <m/>
    <m/>
    <m/>
    <e v="#REF!"/>
    <m/>
    <m/>
    <m/>
    <m/>
    <m/>
    <m/>
    <m/>
    <m/>
    <m/>
    <s v="Galeria 01 - CI-Vol TSP"/>
    <m/>
  </r>
  <r>
    <n v="143"/>
    <x v="0"/>
    <n v="2024"/>
    <x v="4"/>
    <x v="94"/>
    <s v="Túnel completo + banco"/>
    <n v="143"/>
    <n v="169"/>
    <n v="0"/>
    <n v="169"/>
    <m/>
    <n v="169"/>
    <m/>
    <m/>
    <n v="165"/>
    <m/>
    <x v="118"/>
    <n v="168"/>
    <n v="606"/>
    <m/>
    <m/>
    <n v="143"/>
    <m/>
    <n v="400"/>
    <m/>
    <m/>
    <m/>
    <m/>
    <m/>
    <m/>
    <m/>
    <e v="#REF!"/>
    <m/>
    <m/>
    <m/>
    <m/>
    <m/>
    <m/>
    <m/>
    <m/>
    <m/>
    <s v="Túnel completo + banco-Vol 143"/>
    <m/>
  </r>
  <r>
    <n v="60"/>
    <x v="1"/>
    <n v="2024"/>
    <x v="4"/>
    <x v="94"/>
    <s v="Galeria 01 - CI"/>
    <n v="60"/>
    <n v="116"/>
    <n v="0"/>
    <n v="116"/>
    <m/>
    <n v="116"/>
    <m/>
    <m/>
    <n v="116"/>
    <m/>
    <x v="119"/>
    <n v="131"/>
    <n v="89"/>
    <m/>
    <m/>
    <m/>
    <m/>
    <n v="200"/>
    <m/>
    <m/>
    <m/>
    <m/>
    <m/>
    <m/>
    <m/>
    <e v="#REF!"/>
    <m/>
    <m/>
    <m/>
    <m/>
    <m/>
    <m/>
    <m/>
    <m/>
    <m/>
    <s v="Galeria 01 - CI-Vol 60"/>
    <m/>
  </r>
  <r>
    <n v="61"/>
    <x v="1"/>
    <n v="2024"/>
    <x v="4"/>
    <x v="94"/>
    <s v="Galeria 01 - CI"/>
    <n v="61"/>
    <n v="106"/>
    <n v="0"/>
    <n v="106"/>
    <m/>
    <n v="106"/>
    <m/>
    <m/>
    <n v="106"/>
    <m/>
    <x v="120"/>
    <n v="187"/>
    <n v="100"/>
    <m/>
    <m/>
    <n v="100"/>
    <m/>
    <n v="200"/>
    <m/>
    <m/>
    <m/>
    <m/>
    <m/>
    <m/>
    <m/>
    <e v="#REF!"/>
    <m/>
    <m/>
    <m/>
    <m/>
    <m/>
    <m/>
    <m/>
    <m/>
    <m/>
    <s v="Galeria 01 - CI-Vol 61"/>
    <m/>
  </r>
  <r>
    <n v="62"/>
    <x v="1"/>
    <n v="2024"/>
    <x v="4"/>
    <x v="95"/>
    <s v="Galeria 01 - CI"/>
    <n v="62"/>
    <n v="114"/>
    <n v="0"/>
    <n v="114"/>
    <m/>
    <n v="114"/>
    <m/>
    <m/>
    <n v="114"/>
    <m/>
    <x v="121"/>
    <n v="99"/>
    <n v="82"/>
    <m/>
    <m/>
    <n v="45"/>
    <n v="0"/>
    <n v="200"/>
    <m/>
    <m/>
    <m/>
    <m/>
    <m/>
    <m/>
    <m/>
    <e v="#REF!"/>
    <m/>
    <m/>
    <m/>
    <m/>
    <m/>
    <m/>
    <m/>
    <m/>
    <m/>
    <s v="Galeria 01 - CI-Vol 62"/>
    <m/>
  </r>
  <r>
    <n v="144"/>
    <x v="0"/>
    <n v="2024"/>
    <x v="4"/>
    <x v="94"/>
    <s v="Túnel completo + TSP"/>
    <n v="144"/>
    <n v="194"/>
    <n v="0"/>
    <n v="194"/>
    <m/>
    <n v="194"/>
    <m/>
    <m/>
    <n v="194"/>
    <m/>
    <x v="122"/>
    <n v="89"/>
    <n v="342"/>
    <m/>
    <m/>
    <n v="47"/>
    <m/>
    <n v="400"/>
    <m/>
    <m/>
    <m/>
    <m/>
    <m/>
    <m/>
    <m/>
    <e v="#REF!"/>
    <m/>
    <m/>
    <m/>
    <m/>
    <m/>
    <m/>
    <m/>
    <m/>
    <m/>
    <s v="Túnel completo + TSP-Vol 144"/>
    <m/>
  </r>
  <r>
    <n v="145"/>
    <x v="0"/>
    <n v="2024"/>
    <x v="4"/>
    <x v="95"/>
    <s v="Túnel completo + banco"/>
    <n v="145"/>
    <n v="175"/>
    <n v="0"/>
    <n v="175"/>
    <m/>
    <n v="175"/>
    <m/>
    <m/>
    <n v="175"/>
    <m/>
    <x v="8"/>
    <n v="115"/>
    <n v="467"/>
    <m/>
    <m/>
    <n v="103"/>
    <m/>
    <n v="400"/>
    <m/>
    <m/>
    <m/>
    <m/>
    <m/>
    <m/>
    <m/>
    <e v="#REF!"/>
    <m/>
    <m/>
    <m/>
    <m/>
    <m/>
    <m/>
    <m/>
    <m/>
    <m/>
    <s v="Túnel completo + banco-Vol 145"/>
    <m/>
  </r>
  <r>
    <n v="146"/>
    <x v="0"/>
    <n v="2024"/>
    <x v="4"/>
    <x v="95"/>
    <s v="Túnel completo + banco"/>
    <n v="146"/>
    <n v="169"/>
    <n v="0"/>
    <n v="169"/>
    <m/>
    <n v="0"/>
    <m/>
    <m/>
    <n v="164"/>
    <m/>
    <x v="123"/>
    <n v="198"/>
    <n v="719"/>
    <m/>
    <m/>
    <n v="108"/>
    <m/>
    <n v="400"/>
    <m/>
    <m/>
    <m/>
    <m/>
    <m/>
    <m/>
    <m/>
    <e v="#REF!"/>
    <m/>
    <m/>
    <m/>
    <m/>
    <m/>
    <m/>
    <m/>
    <m/>
    <m/>
    <s v="Túnel completo + banco-Vol 146"/>
    <m/>
  </r>
  <r>
    <n v="147"/>
    <x v="0"/>
    <n v="2024"/>
    <x v="4"/>
    <x v="96"/>
    <s v="Túnel completo + banco"/>
    <n v="147"/>
    <n v="186"/>
    <n v="0"/>
    <n v="186"/>
    <m/>
    <n v="0"/>
    <m/>
    <m/>
    <n v="181"/>
    <m/>
    <x v="124"/>
    <n v="148"/>
    <n v="808.5"/>
    <m/>
    <m/>
    <n v="120"/>
    <m/>
    <n v="400"/>
    <m/>
    <m/>
    <m/>
    <m/>
    <m/>
    <m/>
    <m/>
    <e v="#REF!"/>
    <m/>
    <m/>
    <m/>
    <m/>
    <m/>
    <m/>
    <m/>
    <m/>
    <m/>
    <s v="Túnel completo + banco-Vol 147"/>
    <m/>
  </r>
  <r>
    <n v="148"/>
    <x v="0"/>
    <n v="2024"/>
    <x v="4"/>
    <x v="96"/>
    <s v="Túnel completo + banco"/>
    <n v="148"/>
    <n v="176"/>
    <n v="0"/>
    <n v="176"/>
    <m/>
    <n v="176"/>
    <m/>
    <m/>
    <n v="176"/>
    <m/>
    <x v="125"/>
    <n v="257"/>
    <n v="761"/>
    <m/>
    <m/>
    <n v="145"/>
    <m/>
    <n v="400"/>
    <m/>
    <m/>
    <m/>
    <m/>
    <m/>
    <m/>
    <m/>
    <e v="#REF!"/>
    <m/>
    <m/>
    <m/>
    <m/>
    <m/>
    <m/>
    <m/>
    <m/>
    <m/>
    <s v="Túnel completo + banco-Vol 148"/>
    <m/>
  </r>
  <r>
    <n v="63"/>
    <x v="1"/>
    <n v="2024"/>
    <x v="4"/>
    <x v="95"/>
    <s v="Galeria 01 - CI"/>
    <n v="63"/>
    <n v="147"/>
    <n v="0"/>
    <n v="147"/>
    <m/>
    <n v="147"/>
    <m/>
    <m/>
    <n v="147"/>
    <m/>
    <x v="126"/>
    <n v="49"/>
    <n v="777"/>
    <m/>
    <m/>
    <n v="0"/>
    <m/>
    <n v="200"/>
    <m/>
    <m/>
    <m/>
    <m/>
    <m/>
    <m/>
    <m/>
    <e v="#REF!"/>
    <m/>
    <m/>
    <m/>
    <m/>
    <m/>
    <m/>
    <m/>
    <m/>
    <m/>
    <s v="Galeria 01 - CI-Vol 63"/>
    <m/>
  </r>
  <r>
    <n v="64"/>
    <x v="1"/>
    <n v="2024"/>
    <x v="4"/>
    <x v="96"/>
    <s v="Galeria 01 - CI"/>
    <n v="64"/>
    <n v="160"/>
    <n v="0"/>
    <n v="160"/>
    <m/>
    <n v="160"/>
    <m/>
    <m/>
    <n v="160"/>
    <m/>
    <x v="9"/>
    <n v="0"/>
    <n v="900"/>
    <m/>
    <m/>
    <m/>
    <m/>
    <n v="200"/>
    <m/>
    <m/>
    <m/>
    <m/>
    <m/>
    <m/>
    <m/>
    <e v="#REF!"/>
    <m/>
    <m/>
    <m/>
    <m/>
    <m/>
    <m/>
    <m/>
    <m/>
    <m/>
    <s v="Galeria 01 - CI-Vol 64"/>
    <m/>
  </r>
  <r>
    <n v="65"/>
    <x v="1"/>
    <n v="2024"/>
    <x v="4"/>
    <x v="96"/>
    <s v="Galeria 01 - CI"/>
    <s v="desquinche"/>
    <n v="23"/>
    <n v="0"/>
    <n v="23"/>
    <m/>
    <n v="23"/>
    <m/>
    <m/>
    <n v="23"/>
    <m/>
    <x v="9"/>
    <n v="0"/>
    <n v="86"/>
    <m/>
    <m/>
    <m/>
    <m/>
    <n v="200"/>
    <m/>
    <m/>
    <m/>
    <m/>
    <m/>
    <m/>
    <m/>
    <e v="#REF!"/>
    <m/>
    <m/>
    <m/>
    <m/>
    <m/>
    <m/>
    <m/>
    <m/>
    <m/>
    <s v="Galeria 01 - CI-Vol desquinche"/>
    <m/>
  </r>
  <r>
    <n v="149"/>
    <x v="0"/>
    <n v="2024"/>
    <x v="4"/>
    <x v="97"/>
    <s v="Túnel completo + banco"/>
    <n v="149"/>
    <n v="187"/>
    <n v="0"/>
    <n v="187"/>
    <m/>
    <m/>
    <m/>
    <m/>
    <n v="0"/>
    <m/>
    <x v="127"/>
    <n v="230"/>
    <n v="780"/>
    <m/>
    <m/>
    <n v="170"/>
    <m/>
    <n v="400"/>
    <m/>
    <m/>
    <m/>
    <m/>
    <m/>
    <m/>
    <m/>
    <e v="#REF!"/>
    <m/>
    <m/>
    <m/>
    <m/>
    <m/>
    <m/>
    <m/>
    <m/>
    <m/>
    <s v="Túnel completo + banco-Vol 149"/>
    <m/>
  </r>
  <r>
    <n v="66"/>
    <x v="1"/>
    <n v="2024"/>
    <x v="4"/>
    <x v="97"/>
    <s v="Galeria 01 - CI"/>
    <n v="66"/>
    <n v="171"/>
    <n v="0"/>
    <n v="171"/>
    <m/>
    <n v="171"/>
    <m/>
    <m/>
    <n v="171"/>
    <m/>
    <x v="9"/>
    <n v="0"/>
    <n v="1093"/>
    <m/>
    <m/>
    <n v="0"/>
    <m/>
    <n v="200"/>
    <m/>
    <m/>
    <m/>
    <m/>
    <m/>
    <m/>
    <m/>
    <e v="#REF!"/>
    <m/>
    <m/>
    <m/>
    <m/>
    <m/>
    <m/>
    <m/>
    <m/>
    <m/>
    <s v="Galeria 01 - CI-Vol 66"/>
    <m/>
  </r>
  <r>
    <n v="67"/>
    <x v="1"/>
    <n v="2024"/>
    <x v="4"/>
    <x v="97"/>
    <s v="Galeria 01 - CI"/>
    <n v="67"/>
    <n v="164"/>
    <n v="0"/>
    <n v="164"/>
    <m/>
    <n v="164"/>
    <m/>
    <m/>
    <n v="164"/>
    <m/>
    <x v="22"/>
    <n v="127"/>
    <n v="794"/>
    <m/>
    <m/>
    <n v="66"/>
    <m/>
    <n v="400"/>
    <m/>
    <m/>
    <m/>
    <m/>
    <m/>
    <m/>
    <m/>
    <e v="#REF!"/>
    <m/>
    <m/>
    <m/>
    <m/>
    <m/>
    <m/>
    <m/>
    <m/>
    <m/>
    <s v="Galeria 01 - CI-Vol 67"/>
    <m/>
  </r>
  <r>
    <n v="150"/>
    <x v="0"/>
    <n v="2024"/>
    <x v="4"/>
    <x v="97"/>
    <s v="Túnel completo + banco"/>
    <n v="150"/>
    <n v="185"/>
    <n v="0"/>
    <n v="185"/>
    <m/>
    <m/>
    <m/>
    <m/>
    <n v="0"/>
    <m/>
    <x v="128"/>
    <n v="207"/>
    <n v="465"/>
    <m/>
    <m/>
    <m/>
    <m/>
    <n v="400"/>
    <m/>
    <m/>
    <m/>
    <m/>
    <m/>
    <m/>
    <m/>
    <e v="#REF!"/>
    <m/>
    <m/>
    <m/>
    <m/>
    <m/>
    <m/>
    <m/>
    <m/>
    <m/>
    <s v="Túnel completo + banco-Vol 150"/>
    <m/>
  </r>
  <r>
    <n v="151"/>
    <x v="0"/>
    <n v="2024"/>
    <x v="4"/>
    <x v="98"/>
    <s v="Túnel completo + banco"/>
    <n v="151"/>
    <n v="200"/>
    <n v="0"/>
    <n v="200"/>
    <m/>
    <m/>
    <m/>
    <m/>
    <n v="0"/>
    <m/>
    <x v="129"/>
    <n v="222"/>
    <n v="1163"/>
    <m/>
    <m/>
    <n v="155"/>
    <m/>
    <n v="400"/>
    <m/>
    <m/>
    <m/>
    <m/>
    <m/>
    <m/>
    <m/>
    <e v="#REF!"/>
    <m/>
    <m/>
    <m/>
    <m/>
    <m/>
    <m/>
    <m/>
    <m/>
    <m/>
    <s v="Túnel completo + banco-Vol 151"/>
    <m/>
  </r>
  <r>
    <n v="68"/>
    <x v="1"/>
    <n v="2024"/>
    <x v="4"/>
    <x v="98"/>
    <s v="Galeria 01 - CI"/>
    <n v="68"/>
    <n v="137"/>
    <n v="0"/>
    <n v="137"/>
    <m/>
    <n v="137"/>
    <m/>
    <m/>
    <n v="137"/>
    <m/>
    <x v="9"/>
    <n v="120"/>
    <n v="1084"/>
    <m/>
    <m/>
    <n v="108"/>
    <m/>
    <n v="200"/>
    <m/>
    <m/>
    <m/>
    <m/>
    <m/>
    <m/>
    <m/>
    <e v="#REF!"/>
    <m/>
    <m/>
    <m/>
    <m/>
    <m/>
    <m/>
    <m/>
    <m/>
    <m/>
    <s v="Galeria 01 - CI-Vol 68"/>
    <m/>
  </r>
  <r>
    <n v="152"/>
    <x v="0"/>
    <n v="2024"/>
    <x v="4"/>
    <x v="98"/>
    <s v="Túnel completo + banco"/>
    <n v="152"/>
    <n v="179"/>
    <n v="0"/>
    <n v="179"/>
    <m/>
    <n v="179"/>
    <m/>
    <m/>
    <n v="179"/>
    <m/>
    <x v="130"/>
    <n v="178"/>
    <n v="1001"/>
    <m/>
    <m/>
    <n v="170"/>
    <m/>
    <n v="400"/>
    <m/>
    <m/>
    <m/>
    <m/>
    <m/>
    <m/>
    <m/>
    <e v="#REF!"/>
    <m/>
    <m/>
    <m/>
    <m/>
    <m/>
    <m/>
    <m/>
    <m/>
    <m/>
    <s v="Túnel completo + banco-Vol 152"/>
    <m/>
  </r>
  <r>
    <n v="153"/>
    <x v="0"/>
    <n v="2024"/>
    <x v="4"/>
    <x v="99"/>
    <s v="Túnel completo"/>
    <n v="153"/>
    <n v="175"/>
    <n v="0"/>
    <n v="175"/>
    <m/>
    <m/>
    <m/>
    <m/>
    <n v="0"/>
    <m/>
    <x v="131"/>
    <n v="173"/>
    <n v="985"/>
    <m/>
    <m/>
    <n v="160"/>
    <m/>
    <n v="400"/>
    <m/>
    <m/>
    <m/>
    <m/>
    <m/>
    <m/>
    <m/>
    <e v="#REF!"/>
    <m/>
    <m/>
    <m/>
    <m/>
    <m/>
    <m/>
    <m/>
    <m/>
    <m/>
    <s v="Túnel completo-Vol 153"/>
    <m/>
  </r>
  <r>
    <n v="69"/>
    <x v="1"/>
    <n v="2024"/>
    <x v="4"/>
    <x v="98"/>
    <s v="Túnel completo"/>
    <n v="69"/>
    <n v="150"/>
    <n v="0"/>
    <n v="150"/>
    <m/>
    <n v="150"/>
    <m/>
    <m/>
    <n v="150"/>
    <m/>
    <x v="0"/>
    <m/>
    <m/>
    <m/>
    <m/>
    <m/>
    <m/>
    <n v="200"/>
    <m/>
    <m/>
    <m/>
    <m/>
    <m/>
    <m/>
    <m/>
    <e v="#REF!"/>
    <m/>
    <m/>
    <m/>
    <m/>
    <m/>
    <m/>
    <m/>
    <m/>
    <m/>
    <s v="Túnel completo-Vol 69"/>
    <m/>
  </r>
  <r>
    <n v="70"/>
    <x v="1"/>
    <n v="2024"/>
    <x v="4"/>
    <x v="99"/>
    <s v="Túnel completo"/>
    <m/>
    <n v="136"/>
    <n v="0"/>
    <n v="136"/>
    <m/>
    <n v="136"/>
    <m/>
    <m/>
    <n v="136"/>
    <m/>
    <x v="0"/>
    <m/>
    <m/>
    <m/>
    <m/>
    <m/>
    <m/>
    <n v="200"/>
    <m/>
    <m/>
    <m/>
    <m/>
    <m/>
    <m/>
    <m/>
    <e v="#REF!"/>
    <m/>
    <m/>
    <m/>
    <m/>
    <m/>
    <m/>
    <m/>
    <m/>
    <m/>
    <s v="Túnel completo-Vol "/>
    <m/>
  </r>
  <r>
    <n v="71"/>
    <x v="1"/>
    <n v="2024"/>
    <x v="4"/>
    <x v="99"/>
    <s v="Túnel completo"/>
    <n v="71"/>
    <n v="122"/>
    <n v="0"/>
    <n v="122"/>
    <m/>
    <n v="122"/>
    <m/>
    <m/>
    <n v="122"/>
    <m/>
    <x v="0"/>
    <m/>
    <m/>
    <m/>
    <m/>
    <m/>
    <m/>
    <n v="200"/>
    <m/>
    <m/>
    <m/>
    <m/>
    <m/>
    <m/>
    <m/>
    <e v="#REF!"/>
    <m/>
    <m/>
    <m/>
    <m/>
    <m/>
    <m/>
    <m/>
    <m/>
    <m/>
    <s v="Túnel completo-Vol 71"/>
    <m/>
  </r>
  <r>
    <n v="154"/>
    <x v="0"/>
    <n v="2024"/>
    <x v="4"/>
    <x v="99"/>
    <s v="Túnel completo + banco"/>
    <n v="154"/>
    <n v="182"/>
    <n v="0"/>
    <n v="182"/>
    <m/>
    <m/>
    <m/>
    <m/>
    <n v="0"/>
    <m/>
    <x v="132"/>
    <n v="160"/>
    <n v="1120"/>
    <m/>
    <m/>
    <n v="146"/>
    <m/>
    <n v="400"/>
    <m/>
    <m/>
    <m/>
    <m/>
    <m/>
    <m/>
    <m/>
    <e v="#REF!"/>
    <m/>
    <m/>
    <m/>
    <m/>
    <m/>
    <m/>
    <m/>
    <m/>
    <m/>
    <s v="Túnel completo + banco-Vol 154"/>
    <m/>
  </r>
  <r>
    <n v="72"/>
    <x v="1"/>
    <n v="2024"/>
    <x v="4"/>
    <x v="99"/>
    <s v="Túnel completo"/>
    <n v="72"/>
    <n v="162"/>
    <n v="0"/>
    <n v="162"/>
    <m/>
    <m/>
    <n v="135"/>
    <m/>
    <n v="135"/>
    <m/>
    <x v="0"/>
    <m/>
    <m/>
    <m/>
    <m/>
    <m/>
    <m/>
    <n v="200"/>
    <m/>
    <m/>
    <m/>
    <m/>
    <m/>
    <m/>
    <m/>
    <e v="#REF!"/>
    <m/>
    <m/>
    <m/>
    <m/>
    <m/>
    <m/>
    <m/>
    <m/>
    <m/>
    <s v="Túnel completo-Vol 72"/>
    <m/>
  </r>
  <r>
    <n v="155"/>
    <x v="0"/>
    <n v="2024"/>
    <x v="4"/>
    <x v="100"/>
    <s v="Túnel completo + banco"/>
    <n v="155"/>
    <n v="194"/>
    <n v="0"/>
    <n v="194"/>
    <m/>
    <m/>
    <m/>
    <m/>
    <n v="0"/>
    <m/>
    <x v="133"/>
    <n v="176"/>
    <n v="1029"/>
    <m/>
    <m/>
    <n v="160"/>
    <m/>
    <n v="400"/>
    <m/>
    <m/>
    <m/>
    <m/>
    <m/>
    <m/>
    <m/>
    <e v="#REF!"/>
    <m/>
    <m/>
    <m/>
    <m/>
    <m/>
    <m/>
    <m/>
    <m/>
    <m/>
    <s v="Túnel completo + banco-Vol 155"/>
    <m/>
  </r>
  <r>
    <n v="73"/>
    <x v="1"/>
    <n v="2024"/>
    <x v="4"/>
    <x v="100"/>
    <s v="Túnel completo"/>
    <n v="73"/>
    <n v="148"/>
    <n v="0"/>
    <n v="148"/>
    <m/>
    <m/>
    <n v="148"/>
    <m/>
    <n v="148"/>
    <m/>
    <x v="0"/>
    <m/>
    <m/>
    <m/>
    <m/>
    <m/>
    <m/>
    <n v="200"/>
    <m/>
    <m/>
    <m/>
    <m/>
    <m/>
    <m/>
    <m/>
    <e v="#REF!"/>
    <m/>
    <m/>
    <m/>
    <m/>
    <m/>
    <m/>
    <m/>
    <m/>
    <m/>
    <s v="Túnel completo-Vol 73"/>
    <m/>
  </r>
  <r>
    <n v="156"/>
    <x v="0"/>
    <n v="2024"/>
    <x v="4"/>
    <x v="100"/>
    <s v="Túnel completo + banco"/>
    <n v="156"/>
    <n v="180"/>
    <n v="0"/>
    <n v="180"/>
    <m/>
    <m/>
    <m/>
    <m/>
    <n v="0"/>
    <m/>
    <x v="134"/>
    <n v="164"/>
    <n v="1170"/>
    <m/>
    <m/>
    <n v="140"/>
    <m/>
    <n v="400"/>
    <m/>
    <m/>
    <m/>
    <m/>
    <m/>
    <m/>
    <m/>
    <e v="#REF!"/>
    <m/>
    <m/>
    <m/>
    <m/>
    <m/>
    <m/>
    <m/>
    <m/>
    <m/>
    <s v="Túnel completo + banco-Vol 156"/>
    <m/>
  </r>
  <r>
    <n v="157"/>
    <x v="0"/>
    <n v="2024"/>
    <x v="4"/>
    <x v="101"/>
    <s v="Túnel completo + banco"/>
    <n v="157"/>
    <n v="181"/>
    <n v="0"/>
    <n v="181"/>
    <m/>
    <m/>
    <m/>
    <m/>
    <n v="0"/>
    <m/>
    <x v="135"/>
    <n v="200"/>
    <n v="1024"/>
    <m/>
    <m/>
    <n v="160"/>
    <m/>
    <n v="400"/>
    <m/>
    <m/>
    <m/>
    <m/>
    <m/>
    <m/>
    <m/>
    <e v="#REF!"/>
    <m/>
    <m/>
    <m/>
    <m/>
    <m/>
    <m/>
    <m/>
    <m/>
    <m/>
    <s v="Túnel completo + banco-Vol 157"/>
    <m/>
  </r>
  <r>
    <n v="74"/>
    <x v="1"/>
    <n v="2024"/>
    <x v="4"/>
    <x v="101"/>
    <s v="Túnel completo"/>
    <m/>
    <n v="135"/>
    <n v="0"/>
    <n v="135"/>
    <m/>
    <m/>
    <n v="135"/>
    <m/>
    <n v="135"/>
    <m/>
    <x v="0"/>
    <m/>
    <m/>
    <m/>
    <m/>
    <m/>
    <m/>
    <n v="200"/>
    <m/>
    <m/>
    <m/>
    <m/>
    <m/>
    <m/>
    <m/>
    <e v="#REF!"/>
    <m/>
    <m/>
    <m/>
    <m/>
    <m/>
    <m/>
    <m/>
    <m/>
    <m/>
    <s v="Túnel completo-Vol "/>
    <m/>
  </r>
  <r>
    <n v="75"/>
    <x v="1"/>
    <n v="2024"/>
    <x v="4"/>
    <x v="101"/>
    <s v="Túnel completo"/>
    <m/>
    <n v="150"/>
    <n v="0"/>
    <n v="150"/>
    <m/>
    <m/>
    <n v="150"/>
    <m/>
    <n v="150"/>
    <m/>
    <x v="0"/>
    <m/>
    <m/>
    <m/>
    <m/>
    <m/>
    <m/>
    <n v="200"/>
    <m/>
    <m/>
    <m/>
    <m/>
    <m/>
    <m/>
    <m/>
    <e v="#REF!"/>
    <m/>
    <m/>
    <m/>
    <m/>
    <m/>
    <m/>
    <m/>
    <m/>
    <m/>
    <s v="Túnel completo-Vol "/>
    <m/>
  </r>
  <r>
    <n v="158"/>
    <x v="0"/>
    <n v="2024"/>
    <x v="4"/>
    <x v="101"/>
    <s v="Túnel completo + banco"/>
    <n v="158"/>
    <n v="184"/>
    <n v="0"/>
    <n v="184"/>
    <m/>
    <m/>
    <m/>
    <m/>
    <n v="0"/>
    <m/>
    <x v="136"/>
    <n v="230"/>
    <n v="1207.5"/>
    <m/>
    <m/>
    <n v="160"/>
    <m/>
    <n v="400"/>
    <m/>
    <m/>
    <m/>
    <m/>
    <m/>
    <m/>
    <m/>
    <e v="#REF!"/>
    <m/>
    <m/>
    <m/>
    <m/>
    <m/>
    <m/>
    <m/>
    <m/>
    <m/>
    <s v="Túnel completo + banco-Vol 158"/>
    <m/>
  </r>
  <r>
    <n v="159"/>
    <x v="0"/>
    <n v="2024"/>
    <x v="4"/>
    <x v="102"/>
    <s v="Túnel completo + banco"/>
    <n v="159"/>
    <n v="192"/>
    <n v="0"/>
    <n v="192"/>
    <m/>
    <m/>
    <m/>
    <m/>
    <n v="0"/>
    <m/>
    <x v="137"/>
    <n v="230"/>
    <n v="1268"/>
    <m/>
    <m/>
    <n v="187"/>
    <m/>
    <n v="400"/>
    <m/>
    <m/>
    <m/>
    <m/>
    <m/>
    <m/>
    <m/>
    <e v="#REF!"/>
    <m/>
    <m/>
    <m/>
    <m/>
    <m/>
    <m/>
    <m/>
    <m/>
    <m/>
    <s v="Túnel completo + banco-Vol 159"/>
    <m/>
  </r>
  <r>
    <n v="160"/>
    <x v="0"/>
    <n v="2024"/>
    <x v="4"/>
    <x v="102"/>
    <s v="Túnel completo + banco"/>
    <n v="160"/>
    <n v="181"/>
    <n v="0"/>
    <n v="181"/>
    <m/>
    <m/>
    <m/>
    <m/>
    <n v="0"/>
    <m/>
    <x v="131"/>
    <n v="223"/>
    <n v="1313"/>
    <m/>
    <m/>
    <n v="200"/>
    <m/>
    <n v="400"/>
    <m/>
    <m/>
    <m/>
    <m/>
    <m/>
    <m/>
    <m/>
    <e v="#REF!"/>
    <m/>
    <m/>
    <m/>
    <m/>
    <m/>
    <m/>
    <m/>
    <m/>
    <m/>
    <s v="Túnel completo + banco-Vol 160"/>
    <m/>
  </r>
  <r>
    <n v="161"/>
    <x v="0"/>
    <n v="2024"/>
    <x v="4"/>
    <x v="103"/>
    <s v="Túnel completo + banco"/>
    <n v="161"/>
    <n v="187"/>
    <n v="0"/>
    <n v="187"/>
    <m/>
    <m/>
    <m/>
    <m/>
    <n v="0"/>
    <m/>
    <x v="138"/>
    <n v="210"/>
    <n v="1350"/>
    <m/>
    <m/>
    <n v="140"/>
    <m/>
    <n v="400"/>
    <m/>
    <m/>
    <m/>
    <m/>
    <m/>
    <m/>
    <m/>
    <e v="#REF!"/>
    <m/>
    <m/>
    <m/>
    <m/>
    <m/>
    <m/>
    <m/>
    <m/>
    <m/>
    <s v="Túnel completo + banco-Vol 161"/>
    <m/>
  </r>
  <r>
    <n v="162"/>
    <x v="0"/>
    <n v="2024"/>
    <x v="4"/>
    <x v="103"/>
    <s v="Túnel completo"/>
    <n v="162"/>
    <n v="171"/>
    <n v="0"/>
    <m/>
    <n v="171"/>
    <m/>
    <m/>
    <m/>
    <n v="0"/>
    <m/>
    <x v="139"/>
    <n v="190"/>
    <n v="1331"/>
    <m/>
    <m/>
    <n v="200"/>
    <m/>
    <n v="200"/>
    <m/>
    <m/>
    <m/>
    <m/>
    <m/>
    <m/>
    <m/>
    <e v="#REF!"/>
    <m/>
    <m/>
    <m/>
    <m/>
    <m/>
    <m/>
    <m/>
    <m/>
    <m/>
    <s v="Túnel completo-Vol 162"/>
    <m/>
  </r>
  <r>
    <n v="76"/>
    <x v="1"/>
    <n v="2024"/>
    <x v="4"/>
    <x v="102"/>
    <s v="Túnel completo"/>
    <n v="76"/>
    <n v="141"/>
    <n v="0"/>
    <n v="141"/>
    <m/>
    <m/>
    <m/>
    <m/>
    <n v="0"/>
    <m/>
    <x v="0"/>
    <m/>
    <m/>
    <m/>
    <m/>
    <m/>
    <m/>
    <n v="200"/>
    <m/>
    <m/>
    <m/>
    <m/>
    <m/>
    <m/>
    <m/>
    <e v="#REF!"/>
    <m/>
    <m/>
    <m/>
    <m/>
    <m/>
    <m/>
    <m/>
    <m/>
    <m/>
    <s v="Túnel completo-Vol 76"/>
    <m/>
  </r>
  <r>
    <n v="77"/>
    <x v="1"/>
    <n v="2024"/>
    <x v="4"/>
    <x v="102"/>
    <s v="Túnel completo"/>
    <n v="77"/>
    <n v="135"/>
    <n v="0"/>
    <n v="135"/>
    <m/>
    <m/>
    <m/>
    <m/>
    <n v="0"/>
    <m/>
    <x v="0"/>
    <m/>
    <m/>
    <m/>
    <m/>
    <m/>
    <m/>
    <n v="200"/>
    <m/>
    <m/>
    <m/>
    <m/>
    <m/>
    <m/>
    <m/>
    <e v="#REF!"/>
    <m/>
    <m/>
    <m/>
    <m/>
    <m/>
    <m/>
    <m/>
    <m/>
    <m/>
    <s v="Túnel completo-Vol 77"/>
    <m/>
  </r>
  <r>
    <n v="78"/>
    <x v="1"/>
    <n v="2024"/>
    <x v="4"/>
    <x v="103"/>
    <s v="Túnel completo"/>
    <n v="78"/>
    <n v="132"/>
    <n v="0"/>
    <n v="132"/>
    <m/>
    <m/>
    <m/>
    <m/>
    <n v="0"/>
    <m/>
    <x v="0"/>
    <m/>
    <m/>
    <m/>
    <m/>
    <m/>
    <m/>
    <n v="200"/>
    <m/>
    <m/>
    <m/>
    <m/>
    <m/>
    <m/>
    <m/>
    <e v="#REF!"/>
    <m/>
    <m/>
    <m/>
    <m/>
    <m/>
    <m/>
    <m/>
    <m/>
    <m/>
    <s v="Túnel completo-Vol 78"/>
    <m/>
  </r>
  <r>
    <n v="79"/>
    <x v="1"/>
    <n v="2024"/>
    <x v="4"/>
    <x v="103"/>
    <s v="Túnel completo"/>
    <n v="79"/>
    <n v="111"/>
    <n v="0"/>
    <m/>
    <n v="111"/>
    <m/>
    <m/>
    <m/>
    <n v="0"/>
    <m/>
    <x v="0"/>
    <m/>
    <m/>
    <m/>
    <m/>
    <m/>
    <m/>
    <n v="200"/>
    <m/>
    <m/>
    <m/>
    <m/>
    <m/>
    <m/>
    <m/>
    <e v="#REF!"/>
    <m/>
    <m/>
    <m/>
    <m/>
    <m/>
    <m/>
    <m/>
    <m/>
    <m/>
    <s v="Túnel completo-Vol 79"/>
    <m/>
  </r>
  <r>
    <n v="80"/>
    <x v="1"/>
    <n v="2024"/>
    <x v="4"/>
    <x v="104"/>
    <s v="Túnel completo"/>
    <n v="80"/>
    <n v="141"/>
    <n v="0"/>
    <m/>
    <n v="141"/>
    <m/>
    <m/>
    <m/>
    <n v="0"/>
    <m/>
    <x v="0"/>
    <m/>
    <m/>
    <m/>
    <m/>
    <m/>
    <m/>
    <n v="400"/>
    <m/>
    <m/>
    <m/>
    <m/>
    <m/>
    <m/>
    <m/>
    <e v="#REF!"/>
    <m/>
    <m/>
    <m/>
    <m/>
    <m/>
    <m/>
    <m/>
    <m/>
    <m/>
    <s v="Túnel completo-Vol 80"/>
    <m/>
  </r>
  <r>
    <n v="163"/>
    <x v="0"/>
    <n v="2024"/>
    <x v="4"/>
    <x v="104"/>
    <s v="Túnel completo"/>
    <n v="163"/>
    <n v="177"/>
    <n v="0"/>
    <m/>
    <n v="177"/>
    <m/>
    <m/>
    <m/>
    <n v="0"/>
    <m/>
    <x v="140"/>
    <n v="209"/>
    <n v="1350"/>
    <m/>
    <m/>
    <m/>
    <m/>
    <n v="400"/>
    <m/>
    <m/>
    <m/>
    <m/>
    <m/>
    <m/>
    <m/>
    <e v="#REF!"/>
    <m/>
    <m/>
    <m/>
    <m/>
    <m/>
    <m/>
    <m/>
    <m/>
    <m/>
    <s v="Túnel completo-Vol 163"/>
    <m/>
  </r>
  <r>
    <n v="81"/>
    <x v="1"/>
    <n v="2024"/>
    <x v="4"/>
    <x v="104"/>
    <s v="Túnel completo"/>
    <n v="81"/>
    <n v="155"/>
    <n v="0"/>
    <m/>
    <n v="155"/>
    <m/>
    <m/>
    <m/>
    <n v="0"/>
    <m/>
    <x v="0"/>
    <m/>
    <m/>
    <m/>
    <m/>
    <m/>
    <m/>
    <n v="600"/>
    <m/>
    <m/>
    <m/>
    <m/>
    <m/>
    <m/>
    <m/>
    <e v="#REF!"/>
    <m/>
    <m/>
    <m/>
    <m/>
    <m/>
    <m/>
    <m/>
    <m/>
    <m/>
    <s v="Túnel completo-Vol 81"/>
    <m/>
  </r>
  <r>
    <n v="164"/>
    <x v="0"/>
    <n v="2024"/>
    <x v="4"/>
    <x v="104"/>
    <s v="Tunel + banco"/>
    <n v="164"/>
    <n v="205"/>
    <n v="0"/>
    <m/>
    <n v="205"/>
    <n v="205"/>
    <m/>
    <m/>
    <n v="205"/>
    <m/>
    <x v="141"/>
    <n v="180"/>
    <n v="1369"/>
    <m/>
    <m/>
    <n v="149"/>
    <m/>
    <n v="400"/>
    <m/>
    <m/>
    <m/>
    <m/>
    <m/>
    <m/>
    <m/>
    <e v="#REF!"/>
    <m/>
    <m/>
    <m/>
    <m/>
    <m/>
    <m/>
    <m/>
    <m/>
    <m/>
    <s v="Tunel + banco-Vol 164"/>
    <m/>
  </r>
  <r>
    <n v="165"/>
    <x v="0"/>
    <n v="2024"/>
    <x v="4"/>
    <x v="105"/>
    <s v="Tunel + banco"/>
    <n v="165"/>
    <n v="186"/>
    <n v="0"/>
    <m/>
    <n v="186"/>
    <n v="186"/>
    <m/>
    <m/>
    <n v="186"/>
    <m/>
    <x v="142"/>
    <n v="209"/>
    <n v="1392"/>
    <m/>
    <m/>
    <n v="180"/>
    <m/>
    <n v="400"/>
    <m/>
    <m/>
    <m/>
    <m/>
    <m/>
    <m/>
    <m/>
    <e v="#REF!"/>
    <m/>
    <m/>
    <m/>
    <m/>
    <m/>
    <m/>
    <m/>
    <m/>
    <m/>
    <s v="Tunel + banco-Vol 165"/>
    <m/>
  </r>
  <r>
    <n v="82"/>
    <x v="1"/>
    <n v="2024"/>
    <x v="4"/>
    <x v="105"/>
    <s v="Túnel completo"/>
    <n v="82"/>
    <n v="147"/>
    <n v="0"/>
    <m/>
    <n v="147"/>
    <n v="147"/>
    <m/>
    <m/>
    <n v="147"/>
    <m/>
    <x v="0"/>
    <m/>
    <m/>
    <m/>
    <m/>
    <m/>
    <m/>
    <n v="200"/>
    <m/>
    <m/>
    <m/>
    <m/>
    <m/>
    <m/>
    <m/>
    <e v="#REF!"/>
    <m/>
    <m/>
    <m/>
    <m/>
    <m/>
    <m/>
    <m/>
    <m/>
    <m/>
    <s v="Túnel completo-Vol 82"/>
    <m/>
  </r>
  <r>
    <n v="166"/>
    <x v="0"/>
    <n v="2024"/>
    <x v="4"/>
    <x v="106"/>
    <s v="Túnel completo"/>
    <n v="166"/>
    <n v="171"/>
    <n v="0"/>
    <m/>
    <n v="171"/>
    <n v="171"/>
    <m/>
    <m/>
    <n v="171"/>
    <m/>
    <x v="143"/>
    <n v="193"/>
    <s v="1319.5"/>
    <m/>
    <m/>
    <n v="178"/>
    <m/>
    <n v="200"/>
    <m/>
    <m/>
    <m/>
    <m/>
    <m/>
    <m/>
    <m/>
    <e v="#REF!"/>
    <m/>
    <m/>
    <m/>
    <m/>
    <m/>
    <m/>
    <m/>
    <m/>
    <m/>
    <s v="Túnel completo-Vol 166"/>
    <m/>
  </r>
  <r>
    <n v="167"/>
    <x v="0"/>
    <n v="2024"/>
    <x v="4"/>
    <x v="107"/>
    <s v="Túnel completo + banco"/>
    <n v="167"/>
    <n v="196"/>
    <n v="0"/>
    <m/>
    <n v="196"/>
    <n v="196"/>
    <m/>
    <m/>
    <n v="196"/>
    <m/>
    <x v="144"/>
    <n v="179"/>
    <s v="1551.5"/>
    <m/>
    <m/>
    <n v="162"/>
    <m/>
    <n v="400"/>
    <m/>
    <m/>
    <m/>
    <m/>
    <m/>
    <m/>
    <m/>
    <e v="#REF!"/>
    <m/>
    <m/>
    <m/>
    <m/>
    <m/>
    <m/>
    <m/>
    <m/>
    <m/>
    <s v="Túnel completo + banco-Vol 167"/>
    <m/>
  </r>
  <r>
    <n v="168"/>
    <x v="0"/>
    <n v="2024"/>
    <x v="4"/>
    <x v="107"/>
    <s v="Túnel completo"/>
    <n v="168"/>
    <n v="178"/>
    <n v="0"/>
    <m/>
    <n v="178"/>
    <n v="178"/>
    <m/>
    <m/>
    <n v="178"/>
    <m/>
    <x v="145"/>
    <n v="215"/>
    <n v="1432"/>
    <m/>
    <m/>
    <n v="184"/>
    <m/>
    <n v="400"/>
    <m/>
    <m/>
    <m/>
    <m/>
    <m/>
    <m/>
    <m/>
    <e v="#REF!"/>
    <m/>
    <m/>
    <m/>
    <m/>
    <m/>
    <m/>
    <m/>
    <m/>
    <m/>
    <s v="Túnel completo-Vol 168"/>
    <m/>
  </r>
  <r>
    <n v="83"/>
    <x v="1"/>
    <n v="2024"/>
    <x v="4"/>
    <x v="107"/>
    <s v="Túnel completo"/>
    <n v="83"/>
    <n v="153"/>
    <n v="0"/>
    <m/>
    <n v="153"/>
    <n v="153"/>
    <m/>
    <m/>
    <n v="153"/>
    <m/>
    <x v="9"/>
    <n v="268"/>
    <n v="1067"/>
    <m/>
    <m/>
    <n v="90"/>
    <m/>
    <n v="400"/>
    <m/>
    <m/>
    <m/>
    <m/>
    <m/>
    <m/>
    <m/>
    <e v="#REF!"/>
    <m/>
    <m/>
    <m/>
    <m/>
    <m/>
    <m/>
    <m/>
    <m/>
    <m/>
    <s v="Túnel completo-Vol 83"/>
    <m/>
  </r>
  <r>
    <n v="84"/>
    <x v="1"/>
    <n v="2024"/>
    <x v="5"/>
    <x v="108"/>
    <s v="Túnel completo"/>
    <n v="84"/>
    <n v="133"/>
    <n v="0"/>
    <m/>
    <n v="133"/>
    <n v="133"/>
    <m/>
    <m/>
    <n v="133"/>
    <m/>
    <x v="0"/>
    <n v="144"/>
    <n v="1234"/>
    <m/>
    <m/>
    <n v="160"/>
    <m/>
    <n v="400"/>
    <m/>
    <m/>
    <m/>
    <m/>
    <m/>
    <m/>
    <m/>
    <e v="#REF!"/>
    <m/>
    <m/>
    <m/>
    <m/>
    <m/>
    <m/>
    <m/>
    <m/>
    <m/>
    <s v="Túnel completo-Vol 84"/>
    <m/>
  </r>
  <r>
    <n v="169"/>
    <x v="0"/>
    <n v="2024"/>
    <x v="5"/>
    <x v="108"/>
    <s v="Tunel + banco"/>
    <n v="169"/>
    <n v="164"/>
    <n v="0"/>
    <m/>
    <n v="164"/>
    <n v="164"/>
    <m/>
    <m/>
    <n v="164"/>
    <m/>
    <x v="9"/>
    <n v="218"/>
    <n v="1235.5"/>
    <m/>
    <m/>
    <n v="100"/>
    <m/>
    <n v="400"/>
    <m/>
    <m/>
    <m/>
    <m/>
    <m/>
    <m/>
    <m/>
    <e v="#REF!"/>
    <m/>
    <m/>
    <m/>
    <m/>
    <m/>
    <m/>
    <m/>
    <m/>
    <m/>
    <s v="Tunel + banco-Vol 169"/>
    <m/>
  </r>
  <r>
    <n v="170"/>
    <x v="0"/>
    <n v="2024"/>
    <x v="5"/>
    <x v="108"/>
    <s v="Tunel + banco"/>
    <n v="170"/>
    <n v="186"/>
    <n v="0"/>
    <m/>
    <n v="186"/>
    <n v="186"/>
    <m/>
    <m/>
    <n v="186"/>
    <m/>
    <x v="9"/>
    <n v="225"/>
    <s v="1626.5"/>
    <m/>
    <m/>
    <n v="10"/>
    <m/>
    <n v="400"/>
    <m/>
    <m/>
    <m/>
    <m/>
    <m/>
    <m/>
    <m/>
    <e v="#REF!"/>
    <m/>
    <m/>
    <m/>
    <m/>
    <m/>
    <m/>
    <m/>
    <m/>
    <m/>
    <s v="Tunel + banco-Vol 170"/>
    <m/>
  </r>
  <r>
    <n v="85"/>
    <x v="1"/>
    <n v="2024"/>
    <x v="4"/>
    <x v="108"/>
    <s v="Túnel completo"/>
    <n v="85"/>
    <n v="142"/>
    <n v="0"/>
    <m/>
    <n v="142"/>
    <n v="142"/>
    <m/>
    <m/>
    <n v="142"/>
    <m/>
    <x v="9"/>
    <n v="229"/>
    <n v="1166"/>
    <m/>
    <m/>
    <n v="100"/>
    <m/>
    <n v="400"/>
    <m/>
    <m/>
    <m/>
    <m/>
    <m/>
    <m/>
    <m/>
    <e v="#REF!"/>
    <m/>
    <m/>
    <m/>
    <m/>
    <m/>
    <m/>
    <m/>
    <m/>
    <m/>
    <s v="Túnel completo-Vol 85"/>
    <m/>
  </r>
  <r>
    <n v="171"/>
    <x v="0"/>
    <n v="2024"/>
    <x v="5"/>
    <x v="109"/>
    <s v="Tunel + banco"/>
    <n v="171"/>
    <n v="180"/>
    <n v="0"/>
    <m/>
    <n v="180"/>
    <n v="180"/>
    <m/>
    <m/>
    <n v="180"/>
    <m/>
    <x v="9"/>
    <n v="212"/>
    <n v="1623"/>
    <m/>
    <m/>
    <n v="117"/>
    <m/>
    <n v="400"/>
    <m/>
    <m/>
    <m/>
    <m/>
    <m/>
    <m/>
    <m/>
    <e v="#REF!"/>
    <m/>
    <m/>
    <m/>
    <m/>
    <m/>
    <m/>
    <m/>
    <m/>
    <m/>
    <s v="Tunel + banco-Vol 171"/>
    <m/>
  </r>
  <r>
    <n v="86"/>
    <x v="1"/>
    <n v="2024"/>
    <x v="4"/>
    <x v="109"/>
    <s v="Túnel completo"/>
    <n v="86"/>
    <n v="179"/>
    <n v="0"/>
    <m/>
    <n v="179"/>
    <n v="179"/>
    <m/>
    <m/>
    <n v="179"/>
    <m/>
    <x v="0"/>
    <n v="173"/>
    <n v="1329"/>
    <m/>
    <m/>
    <n v="170"/>
    <m/>
    <n v="400"/>
    <m/>
    <m/>
    <m/>
    <m/>
    <m/>
    <m/>
    <m/>
    <e v="#REF!"/>
    <m/>
    <m/>
    <m/>
    <m/>
    <m/>
    <m/>
    <m/>
    <m/>
    <m/>
    <s v="Túnel completo-Vol 86"/>
    <m/>
  </r>
  <r>
    <n v="172"/>
    <x v="0"/>
    <n v="2024"/>
    <x v="4"/>
    <x v="109"/>
    <s v="Túnel completo + banco"/>
    <n v="172"/>
    <n v="194"/>
    <n v="194"/>
    <m/>
    <n v="0"/>
    <n v="194"/>
    <m/>
    <m/>
    <n v="194"/>
    <m/>
    <x v="0"/>
    <n v="384"/>
    <n v="1692"/>
    <m/>
    <m/>
    <n v="175"/>
    <n v="400"/>
    <m/>
    <m/>
    <m/>
    <m/>
    <m/>
    <m/>
    <m/>
    <m/>
    <e v="#REF!"/>
    <m/>
    <m/>
    <m/>
    <m/>
    <m/>
    <m/>
    <m/>
    <m/>
    <m/>
    <s v="Túnel completo + banco-Vol 172"/>
    <m/>
  </r>
  <r>
    <n v="87"/>
    <x v="1"/>
    <n v="2024"/>
    <x v="4"/>
    <x v="109"/>
    <s v="Túnel completo"/>
    <n v="148"/>
    <n v="148"/>
    <n v="0"/>
    <m/>
    <n v="148"/>
    <n v="148"/>
    <m/>
    <m/>
    <n v="148"/>
    <m/>
    <x v="0"/>
    <n v="148"/>
    <n v="1171"/>
    <n v="0"/>
    <m/>
    <n v="90"/>
    <n v="0"/>
    <n v="200"/>
    <m/>
    <m/>
    <m/>
    <m/>
    <m/>
    <m/>
    <m/>
    <e v="#REF!"/>
    <m/>
    <m/>
    <m/>
    <m/>
    <m/>
    <m/>
    <m/>
    <m/>
    <m/>
    <s v="Túnel completo-Vol 148"/>
    <m/>
  </r>
  <r>
    <n v="173"/>
    <x v="0"/>
    <n v="2024"/>
    <x v="5"/>
    <x v="110"/>
    <s v="Túnel completo + banco"/>
    <n v="173"/>
    <n v="173"/>
    <n v="173"/>
    <m/>
    <n v="0"/>
    <n v="173"/>
    <m/>
    <m/>
    <n v="173"/>
    <m/>
    <x v="0"/>
    <n v="230"/>
    <n v="1671.5"/>
    <m/>
    <m/>
    <n v="143"/>
    <n v="400"/>
    <m/>
    <m/>
    <m/>
    <m/>
    <m/>
    <m/>
    <m/>
    <m/>
    <e v="#REF!"/>
    <m/>
    <m/>
    <m/>
    <m/>
    <m/>
    <m/>
    <m/>
    <m/>
    <m/>
    <s v="Túnel completo + banco-Vol 173"/>
    <m/>
  </r>
  <r>
    <n v="88"/>
    <x v="1"/>
    <n v="2024"/>
    <x v="4"/>
    <x v="110"/>
    <s v="Túnel completo"/>
    <n v="88"/>
    <n v="179"/>
    <n v="179"/>
    <n v="0"/>
    <n v="0"/>
    <n v="179"/>
    <m/>
    <m/>
    <n v="179"/>
    <m/>
    <x v="0"/>
    <n v="184"/>
    <n v="1426"/>
    <m/>
    <m/>
    <n v="186"/>
    <n v="400"/>
    <m/>
    <m/>
    <m/>
    <m/>
    <m/>
    <m/>
    <m/>
    <m/>
    <e v="#REF!"/>
    <m/>
    <m/>
    <m/>
    <m/>
    <m/>
    <m/>
    <m/>
    <m/>
    <m/>
    <s v="Túnel completo-Vol 88"/>
    <m/>
  </r>
  <r>
    <n v="174"/>
    <x v="0"/>
    <n v="2024"/>
    <x v="4"/>
    <x v="110"/>
    <s v="Túnel completo"/>
    <n v="174"/>
    <n v="182"/>
    <n v="182"/>
    <n v="0"/>
    <n v="0"/>
    <n v="182"/>
    <m/>
    <m/>
    <n v="182"/>
    <m/>
    <x v="0"/>
    <n v="218"/>
    <n v="1671.5"/>
    <m/>
    <m/>
    <n v="200"/>
    <n v="400"/>
    <m/>
    <m/>
    <m/>
    <m/>
    <m/>
    <m/>
    <m/>
    <m/>
    <e v="#REF!"/>
    <m/>
    <m/>
    <m/>
    <m/>
    <m/>
    <m/>
    <m/>
    <m/>
    <m/>
    <s v="Túnel completo-Vol 174"/>
    <m/>
  </r>
  <r>
    <n v="89"/>
    <x v="1"/>
    <n v="2024"/>
    <x v="4"/>
    <x v="110"/>
    <s v="Túnel completo"/>
    <n v="89"/>
    <n v="137"/>
    <n v="137"/>
    <n v="0"/>
    <n v="0"/>
    <n v="137"/>
    <m/>
    <m/>
    <n v="137"/>
    <m/>
    <x v="0"/>
    <n v="222"/>
    <n v="1153"/>
    <m/>
    <m/>
    <n v="90"/>
    <n v="400"/>
    <m/>
    <m/>
    <m/>
    <m/>
    <m/>
    <m/>
    <n v="1"/>
    <m/>
    <e v="#REF!"/>
    <m/>
    <m/>
    <m/>
    <m/>
    <m/>
    <m/>
    <m/>
    <m/>
    <m/>
    <s v="Túnel completo-Vol 89"/>
    <s v="01 PTQ en la corona"/>
  </r>
  <r>
    <n v="175"/>
    <x v="0"/>
    <n v="2024"/>
    <x v="5"/>
    <x v="111"/>
    <s v="Túnel completo"/>
    <n v="175"/>
    <n v="163"/>
    <n v="163"/>
    <m/>
    <n v="0"/>
    <n v="163"/>
    <m/>
    <m/>
    <n v="163"/>
    <m/>
    <x v="9"/>
    <n v="170"/>
    <n v="1637"/>
    <m/>
    <m/>
    <n v="142"/>
    <n v="400"/>
    <m/>
    <m/>
    <m/>
    <m/>
    <m/>
    <m/>
    <m/>
    <m/>
    <e v="#REF!"/>
    <m/>
    <m/>
    <m/>
    <m/>
    <m/>
    <m/>
    <m/>
    <m/>
    <m/>
    <s v="Túnel completo-Vol 175"/>
    <m/>
  </r>
  <r>
    <n v="90"/>
    <x v="1"/>
    <n v="2024"/>
    <x v="5"/>
    <x v="111"/>
    <s v="Túnel completo"/>
    <n v="90"/>
    <n v="144"/>
    <n v="144"/>
    <m/>
    <n v="0"/>
    <n v="144"/>
    <m/>
    <m/>
    <n v="144"/>
    <m/>
    <x v="0"/>
    <n v="114"/>
    <n v="1325"/>
    <m/>
    <m/>
    <n v="200"/>
    <n v="400"/>
    <m/>
    <m/>
    <m/>
    <m/>
    <m/>
    <m/>
    <m/>
    <m/>
    <e v="#REF!"/>
    <m/>
    <m/>
    <m/>
    <m/>
    <m/>
    <m/>
    <m/>
    <m/>
    <m/>
    <s v="Túnel completo-Vol 90"/>
    <m/>
  </r>
  <r>
    <n v="176"/>
    <x v="0"/>
    <n v="2024"/>
    <x v="5"/>
    <x v="111"/>
    <s v="Túnel completo"/>
    <n v="176"/>
    <n v="179"/>
    <n v="179"/>
    <m/>
    <m/>
    <n v="179"/>
    <m/>
    <m/>
    <n v="179"/>
    <m/>
    <x v="9"/>
    <n v="210"/>
    <n v="1684"/>
    <m/>
    <m/>
    <n v="200"/>
    <n v="200"/>
    <m/>
    <m/>
    <m/>
    <m/>
    <m/>
    <m/>
    <m/>
    <m/>
    <e v="#REF!"/>
    <m/>
    <m/>
    <m/>
    <m/>
    <m/>
    <m/>
    <m/>
    <m/>
    <m/>
    <s v="Túnel completo-Vol 176"/>
    <m/>
  </r>
  <r>
    <n v="91"/>
    <x v="1"/>
    <n v="2024"/>
    <x v="4"/>
    <x v="111"/>
    <s v="Túnel completo"/>
    <n v="91"/>
    <n v="186"/>
    <n v="186"/>
    <m/>
    <m/>
    <n v="186"/>
    <m/>
    <m/>
    <n v="186"/>
    <m/>
    <x v="0"/>
    <m/>
    <m/>
    <m/>
    <m/>
    <m/>
    <n v="400"/>
    <m/>
    <m/>
    <m/>
    <m/>
    <m/>
    <m/>
    <m/>
    <m/>
    <e v="#REF!"/>
    <m/>
    <m/>
    <m/>
    <m/>
    <m/>
    <m/>
    <m/>
    <m/>
    <m/>
    <s v="Túnel completo-Vol 91"/>
    <m/>
  </r>
  <r>
    <n v="177"/>
    <x v="0"/>
    <n v="2024"/>
    <x v="4"/>
    <x v="112"/>
    <s v="Tunel + banco"/>
    <n v="177"/>
    <n v="177"/>
    <n v="177"/>
    <m/>
    <m/>
    <n v="177"/>
    <m/>
    <m/>
    <n v="177"/>
    <m/>
    <x v="0"/>
    <n v="217"/>
    <n v="1623"/>
    <m/>
    <m/>
    <n v="126"/>
    <n v="400"/>
    <m/>
    <m/>
    <m/>
    <m/>
    <m/>
    <m/>
    <m/>
    <m/>
    <e v="#REF!"/>
    <m/>
    <m/>
    <m/>
    <m/>
    <m/>
    <m/>
    <m/>
    <m/>
    <m/>
    <s v="Tunel + banco-Vol 177"/>
    <s v="1 TQ en corona"/>
  </r>
  <r>
    <n v="92"/>
    <x v="1"/>
    <n v="2024"/>
    <x v="4"/>
    <x v="112"/>
    <s v="Túnel completo"/>
    <n v="92"/>
    <n v="159"/>
    <n v="159"/>
    <m/>
    <m/>
    <n v="159"/>
    <m/>
    <m/>
    <n v="159"/>
    <m/>
    <x v="0"/>
    <m/>
    <m/>
    <m/>
    <m/>
    <m/>
    <n v="400"/>
    <m/>
    <m/>
    <m/>
    <m/>
    <m/>
    <m/>
    <m/>
    <m/>
    <e v="#REF!"/>
    <m/>
    <m/>
    <m/>
    <m/>
    <m/>
    <m/>
    <m/>
    <m/>
    <m/>
    <s v="Túnel completo-Vol 92"/>
    <m/>
  </r>
  <r>
    <n v="178"/>
    <x v="0"/>
    <n v="2024"/>
    <x v="4"/>
    <x v="112"/>
    <s v="Túnel completo"/>
    <n v="178"/>
    <n v="162"/>
    <n v="162"/>
    <m/>
    <m/>
    <n v="162"/>
    <m/>
    <m/>
    <n v="162"/>
    <m/>
    <x v="9"/>
    <n v="144"/>
    <n v="1376"/>
    <m/>
    <m/>
    <n v="140"/>
    <n v="200"/>
    <m/>
    <m/>
    <m/>
    <m/>
    <m/>
    <m/>
    <m/>
    <m/>
    <e v="#REF!"/>
    <m/>
    <m/>
    <m/>
    <m/>
    <m/>
    <m/>
    <m/>
    <m/>
    <m/>
    <s v="Túnel completo-Vol 178"/>
    <m/>
  </r>
  <r>
    <n v="93"/>
    <x v="1"/>
    <n v="2024"/>
    <x v="4"/>
    <x v="112"/>
    <s v="Túnel completo"/>
    <n v="93"/>
    <n v="168"/>
    <n v="168"/>
    <m/>
    <m/>
    <n v="168"/>
    <m/>
    <m/>
    <n v="168"/>
    <m/>
    <x v="0"/>
    <n v="0"/>
    <n v="1560"/>
    <m/>
    <m/>
    <m/>
    <n v="400"/>
    <m/>
    <m/>
    <m/>
    <m/>
    <m/>
    <m/>
    <m/>
    <m/>
    <e v="#REF!"/>
    <m/>
    <m/>
    <m/>
    <m/>
    <m/>
    <m/>
    <m/>
    <m/>
    <m/>
    <s v="Túnel completo-Vol 93"/>
    <m/>
  </r>
  <r>
    <n v="179"/>
    <x v="0"/>
    <n v="2024"/>
    <x v="4"/>
    <x v="113"/>
    <s v="Túnel completo"/>
    <n v="179"/>
    <n v="176"/>
    <n v="176"/>
    <m/>
    <m/>
    <n v="176"/>
    <m/>
    <m/>
    <n v="176"/>
    <m/>
    <x v="0"/>
    <n v="206"/>
    <n v="1647"/>
    <m/>
    <m/>
    <n v="200"/>
    <n v="200"/>
    <m/>
    <m/>
    <m/>
    <m/>
    <m/>
    <m/>
    <m/>
    <m/>
    <e v="#REF!"/>
    <m/>
    <m/>
    <m/>
    <m/>
    <m/>
    <m/>
    <m/>
    <m/>
    <m/>
    <s v="Túnel completo-Vol 179"/>
    <m/>
  </r>
  <r>
    <n v="94"/>
    <x v="1"/>
    <n v="2024"/>
    <x v="4"/>
    <x v="113"/>
    <s v="Túnel completo"/>
    <n v="94"/>
    <n v="204"/>
    <n v="204"/>
    <m/>
    <m/>
    <n v="204"/>
    <m/>
    <m/>
    <n v="204"/>
    <m/>
    <x v="0"/>
    <n v="223"/>
    <n v="1739"/>
    <m/>
    <m/>
    <m/>
    <n v="400"/>
    <m/>
    <m/>
    <m/>
    <m/>
    <m/>
    <m/>
    <m/>
    <m/>
    <e v="#REF!"/>
    <m/>
    <m/>
    <m/>
    <m/>
    <m/>
    <m/>
    <m/>
    <m/>
    <m/>
    <s v="Túnel completo-Vol 94"/>
    <m/>
  </r>
  <r>
    <n v="180"/>
    <x v="0"/>
    <n v="2024"/>
    <x v="4"/>
    <x v="113"/>
    <s v="Tunel + banco"/>
    <n v="180"/>
    <n v="183"/>
    <n v="183"/>
    <m/>
    <m/>
    <n v="183"/>
    <m/>
    <m/>
    <n v="183"/>
    <m/>
    <x v="0"/>
    <n v="173"/>
    <n v="1778"/>
    <m/>
    <m/>
    <n v="105"/>
    <n v="400"/>
    <m/>
    <m/>
    <m/>
    <m/>
    <m/>
    <m/>
    <m/>
    <m/>
    <e v="#REF!"/>
    <m/>
    <m/>
    <m/>
    <m/>
    <m/>
    <m/>
    <m/>
    <m/>
    <m/>
    <s v="Tunel + banco-Vol 180"/>
    <m/>
  </r>
  <r>
    <n v="95"/>
    <x v="1"/>
    <n v="2024"/>
    <x v="4"/>
    <x v="113"/>
    <s v="Túnel completo"/>
    <n v="95"/>
    <n v="154"/>
    <n v="154"/>
    <m/>
    <m/>
    <n v="154"/>
    <m/>
    <m/>
    <n v="154"/>
    <m/>
    <x v="0"/>
    <n v="155"/>
    <n v="1527"/>
    <m/>
    <m/>
    <m/>
    <n v="400"/>
    <m/>
    <m/>
    <m/>
    <m/>
    <m/>
    <m/>
    <m/>
    <m/>
    <e v="#REF!"/>
    <m/>
    <m/>
    <m/>
    <m/>
    <m/>
    <m/>
    <m/>
    <m/>
    <m/>
    <s v="Túnel completo-Vol 95"/>
    <m/>
  </r>
  <r>
    <n v="181"/>
    <x v="0"/>
    <n v="2024"/>
    <x v="4"/>
    <x v="114"/>
    <s v="Túnel completo + banco"/>
    <n v="181"/>
    <n v="189"/>
    <n v="189"/>
    <m/>
    <m/>
    <n v="189"/>
    <m/>
    <m/>
    <n v="189"/>
    <m/>
    <x v="0"/>
    <n v="335"/>
    <n v="1619"/>
    <m/>
    <m/>
    <n v="185"/>
    <n v="400"/>
    <m/>
    <m/>
    <m/>
    <m/>
    <m/>
    <m/>
    <m/>
    <m/>
    <e v="#REF!"/>
    <m/>
    <m/>
    <m/>
    <m/>
    <m/>
    <m/>
    <m/>
    <m/>
    <m/>
    <s v="Túnel completo + banco-Vol 181"/>
    <m/>
  </r>
  <r>
    <n v="96"/>
    <x v="1"/>
    <n v="2024"/>
    <x v="4"/>
    <x v="114"/>
    <s v="Túnel completo"/>
    <n v="96"/>
    <n v="180"/>
    <n v="180"/>
    <m/>
    <m/>
    <n v="180"/>
    <m/>
    <m/>
    <n v="180"/>
    <m/>
    <x v="9"/>
    <n v="227"/>
    <n v="1423"/>
    <m/>
    <m/>
    <m/>
    <n v="400"/>
    <m/>
    <m/>
    <m/>
    <m/>
    <m/>
    <m/>
    <m/>
    <m/>
    <e v="#REF!"/>
    <m/>
    <m/>
    <m/>
    <m/>
    <m/>
    <m/>
    <m/>
    <m/>
    <m/>
    <s v="Túnel completo-Vol 96"/>
    <m/>
  </r>
  <r>
    <n v="182"/>
    <x v="0"/>
    <n v="2024"/>
    <x v="4"/>
    <x v="115"/>
    <s v="Túnel completo + banco"/>
    <n v="182"/>
    <n v="180"/>
    <n v="180"/>
    <m/>
    <m/>
    <n v="180"/>
    <m/>
    <m/>
    <n v="180"/>
    <m/>
    <x v="0"/>
    <n v="134"/>
    <n v="1474.5"/>
    <m/>
    <m/>
    <n v="145"/>
    <n v="400"/>
    <m/>
    <m/>
    <m/>
    <m/>
    <m/>
    <m/>
    <m/>
    <m/>
    <e v="#REF!"/>
    <m/>
    <m/>
    <m/>
    <m/>
    <m/>
    <m/>
    <m/>
    <m/>
    <m/>
    <s v="Túnel completo + banco-Vol 182"/>
    <m/>
  </r>
  <r>
    <n v="97"/>
    <x v="1"/>
    <n v="2024"/>
    <x v="4"/>
    <x v="115"/>
    <s v="Túnel completo"/>
    <n v="170"/>
    <n v="170"/>
    <n v="170"/>
    <m/>
    <m/>
    <n v="170"/>
    <m/>
    <m/>
    <n v="170"/>
    <m/>
    <x v="0"/>
    <n v="300"/>
    <n v="2250"/>
    <m/>
    <m/>
    <m/>
    <n v="400"/>
    <m/>
    <m/>
    <m/>
    <m/>
    <m/>
    <m/>
    <m/>
    <m/>
    <e v="#REF!"/>
    <m/>
    <m/>
    <m/>
    <m/>
    <m/>
    <m/>
    <m/>
    <m/>
    <m/>
    <s v="Túnel completo-Vol 170"/>
    <m/>
  </r>
  <r>
    <n v="98"/>
    <x v="1"/>
    <n v="2024"/>
    <x v="4"/>
    <x v="116"/>
    <s v="Túnel completo"/>
    <n v="98"/>
    <n v="172"/>
    <n v="172"/>
    <n v="0"/>
    <n v="0"/>
    <n v="172"/>
    <m/>
    <m/>
    <n v="172"/>
    <m/>
    <x v="0"/>
    <n v="192"/>
    <n v="1577"/>
    <m/>
    <m/>
    <m/>
    <n v="400"/>
    <m/>
    <m/>
    <m/>
    <m/>
    <m/>
    <m/>
    <m/>
    <m/>
    <e v="#REF!"/>
    <m/>
    <m/>
    <m/>
    <m/>
    <m/>
    <m/>
    <m/>
    <m/>
    <m/>
    <s v="Túnel completo-Vol 98"/>
    <m/>
  </r>
  <r>
    <n v="183"/>
    <x v="0"/>
    <n v="2024"/>
    <x v="4"/>
    <x v="116"/>
    <s v="Túnel completo + banco"/>
    <n v="183"/>
    <n v="192"/>
    <n v="192"/>
    <n v="0"/>
    <n v="0"/>
    <n v="192"/>
    <m/>
    <m/>
    <n v="192"/>
    <m/>
    <x v="0"/>
    <n v="342"/>
    <n v="1633"/>
    <m/>
    <m/>
    <n v="185"/>
    <n v="400"/>
    <m/>
    <m/>
    <m/>
    <m/>
    <m/>
    <m/>
    <m/>
    <m/>
    <e v="#REF!"/>
    <m/>
    <m/>
    <m/>
    <m/>
    <m/>
    <m/>
    <m/>
    <m/>
    <m/>
    <s v="Túnel completo + banco-Vol 183"/>
    <m/>
  </r>
  <r>
    <n v="184"/>
    <x v="0"/>
    <n v="2024"/>
    <x v="4"/>
    <x v="116"/>
    <s v="Túnel completo + banco"/>
    <n v="184"/>
    <n v="169"/>
    <n v="169"/>
    <m/>
    <m/>
    <n v="169"/>
    <m/>
    <m/>
    <n v="169"/>
    <m/>
    <x v="0"/>
    <n v="137"/>
    <n v="1616"/>
    <m/>
    <m/>
    <n v="113"/>
    <n v="600"/>
    <m/>
    <m/>
    <m/>
    <m/>
    <m/>
    <m/>
    <m/>
    <m/>
    <e v="#REF!"/>
    <m/>
    <m/>
    <m/>
    <m/>
    <m/>
    <m/>
    <m/>
    <m/>
    <m/>
    <s v="Túnel completo + banco-Vol 184"/>
    <m/>
  </r>
  <r>
    <n v="99"/>
    <x v="1"/>
    <n v="2024"/>
    <x v="4"/>
    <x v="116"/>
    <s v="Túnel completo + desquinche  "/>
    <n v="99"/>
    <n v="179"/>
    <n v="179"/>
    <n v="0"/>
    <n v="0"/>
    <n v="179"/>
    <m/>
    <m/>
    <n v="179"/>
    <m/>
    <x v="0"/>
    <n v="127"/>
    <n v="1714"/>
    <m/>
    <m/>
    <m/>
    <n v="400"/>
    <m/>
    <m/>
    <m/>
    <m/>
    <m/>
    <m/>
    <m/>
    <m/>
    <e v="#REF!"/>
    <m/>
    <m/>
    <m/>
    <m/>
    <m/>
    <m/>
    <m/>
    <m/>
    <m/>
    <s v="Túnel completo + desquinche  -Vol 99"/>
    <m/>
  </r>
  <r>
    <n v="100"/>
    <x v="1"/>
    <n v="2024"/>
    <x v="4"/>
    <x v="117"/>
    <s v="Túnel completo + desquinche  "/>
    <n v="100"/>
    <n v="172"/>
    <n v="172"/>
    <n v="0"/>
    <n v="0"/>
    <n v="172"/>
    <m/>
    <m/>
    <n v="172"/>
    <m/>
    <x v="0"/>
    <n v="193"/>
    <n v="1635"/>
    <m/>
    <m/>
    <n v="200"/>
    <n v="400"/>
    <m/>
    <m/>
    <m/>
    <m/>
    <m/>
    <m/>
    <m/>
    <m/>
    <e v="#REF!"/>
    <m/>
    <m/>
    <m/>
    <m/>
    <m/>
    <m/>
    <m/>
    <m/>
    <m/>
    <s v="Túnel completo + desquinche  -Vol 100"/>
    <m/>
  </r>
  <r>
    <n v="185"/>
    <x v="0"/>
    <n v="2024"/>
    <x v="4"/>
    <x v="117"/>
    <s v="Túnel completo + banco"/>
    <n v="185"/>
    <n v="186"/>
    <n v="186"/>
    <m/>
    <m/>
    <n v="186"/>
    <m/>
    <m/>
    <n v="186"/>
    <m/>
    <x v="0"/>
    <n v="283"/>
    <n v="1688.5"/>
    <m/>
    <m/>
    <n v="188"/>
    <n v="600"/>
    <m/>
    <m/>
    <m/>
    <m/>
    <m/>
    <m/>
    <m/>
    <m/>
    <e v="#REF!"/>
    <m/>
    <m/>
    <m/>
    <m/>
    <m/>
    <m/>
    <m/>
    <m/>
    <m/>
    <s v="Túnel completo + banco-Vol 185"/>
    <m/>
  </r>
  <r>
    <n v="101"/>
    <x v="1"/>
    <n v="2024"/>
    <x v="4"/>
    <x v="118"/>
    <s v="Túnel completo + desquinche  "/>
    <n v="101"/>
    <n v="151"/>
    <n v="151"/>
    <m/>
    <m/>
    <n v="185"/>
    <m/>
    <m/>
    <n v="185"/>
    <m/>
    <x v="0"/>
    <m/>
    <m/>
    <m/>
    <m/>
    <m/>
    <n v="200"/>
    <m/>
    <m/>
    <m/>
    <m/>
    <m/>
    <m/>
    <m/>
    <m/>
    <e v="#REF!"/>
    <m/>
    <m/>
    <m/>
    <m/>
    <m/>
    <m/>
    <m/>
    <m/>
    <m/>
    <s v="Túnel completo + desquinche  -Vol 101"/>
    <m/>
  </r>
  <r>
    <n v="186"/>
    <x v="0"/>
    <n v="2024"/>
    <x v="4"/>
    <x v="118"/>
    <s v="Túnel completo + banco"/>
    <n v="186"/>
    <n v="200"/>
    <n v="200"/>
    <m/>
    <m/>
    <n v="200"/>
    <m/>
    <m/>
    <n v="200"/>
    <m/>
    <x v="0"/>
    <n v="258"/>
    <n v="1799.5"/>
    <m/>
    <m/>
    <n v="145"/>
    <n v="600"/>
    <m/>
    <m/>
    <m/>
    <m/>
    <m/>
    <m/>
    <m/>
    <m/>
    <e v="#REF!"/>
    <m/>
    <m/>
    <m/>
    <m/>
    <m/>
    <m/>
    <m/>
    <m/>
    <m/>
    <s v="Túnel completo + banco-Vol 186"/>
    <m/>
  </r>
  <r>
    <n v="187"/>
    <x v="0"/>
    <n v="2024"/>
    <x v="4"/>
    <x v="119"/>
    <s v="Túnel completo + banco"/>
    <n v="187"/>
    <n v="184"/>
    <n v="184"/>
    <m/>
    <m/>
    <n v="184"/>
    <m/>
    <m/>
    <n v="184"/>
    <m/>
    <x v="0"/>
    <n v="240"/>
    <n v="1783"/>
    <m/>
    <m/>
    <n v="179"/>
    <n v="600"/>
    <m/>
    <m/>
    <m/>
    <m/>
    <m/>
    <m/>
    <m/>
    <m/>
    <e v="#REF!"/>
    <m/>
    <m/>
    <m/>
    <m/>
    <m/>
    <m/>
    <m/>
    <m/>
    <m/>
    <s v="Túnel completo + banco-Vol 187"/>
    <m/>
  </r>
  <r>
    <n v="102"/>
    <x v="1"/>
    <n v="2024"/>
    <x v="4"/>
    <x v="119"/>
    <s v="Túnel completo + desquinche  "/>
    <n v="102"/>
    <n v="159"/>
    <n v="159"/>
    <m/>
    <m/>
    <n v="159"/>
    <m/>
    <m/>
    <n v="159"/>
    <m/>
    <x v="0"/>
    <n v="148"/>
    <n v="1352"/>
    <m/>
    <m/>
    <n v="200"/>
    <n v="400"/>
    <m/>
    <m/>
    <m/>
    <m/>
    <m/>
    <m/>
    <m/>
    <m/>
    <e v="#REF!"/>
    <m/>
    <m/>
    <m/>
    <m/>
    <m/>
    <m/>
    <m/>
    <m/>
    <m/>
    <s v="Túnel completo + desquinche  -Vol 102"/>
    <m/>
  </r>
  <r>
    <n v="188"/>
    <x v="0"/>
    <n v="2024"/>
    <x v="4"/>
    <x v="119"/>
    <s v="Túnel completo + banco"/>
    <n v="188"/>
    <n v="171"/>
    <n v="171"/>
    <m/>
    <m/>
    <n v="171"/>
    <m/>
    <m/>
    <n v="171"/>
    <m/>
    <x v="0"/>
    <n v="170"/>
    <n v="1709"/>
    <m/>
    <m/>
    <n v="200"/>
    <n v="600"/>
    <m/>
    <m/>
    <m/>
    <m/>
    <m/>
    <m/>
    <m/>
    <m/>
    <e v="#REF!"/>
    <m/>
    <m/>
    <m/>
    <m/>
    <m/>
    <m/>
    <m/>
    <m/>
    <m/>
    <s v="Túnel completo + banco-Vol 188"/>
    <m/>
  </r>
  <r>
    <n v="103"/>
    <x v="1"/>
    <n v="2024"/>
    <x v="4"/>
    <x v="119"/>
    <s v="Túnel completo"/>
    <n v="103"/>
    <n v="129"/>
    <n v="129"/>
    <m/>
    <m/>
    <n v="129"/>
    <m/>
    <m/>
    <n v="129"/>
    <m/>
    <x v="0"/>
    <n v="125"/>
    <n v="817"/>
    <m/>
    <m/>
    <n v="100"/>
    <n v="400"/>
    <m/>
    <m/>
    <m/>
    <m/>
    <m/>
    <m/>
    <m/>
    <m/>
    <e v="#REF!"/>
    <m/>
    <m/>
    <m/>
    <m/>
    <m/>
    <m/>
    <m/>
    <m/>
    <m/>
    <s v="Túnel completo-Vol 103"/>
    <m/>
  </r>
  <r>
    <n v="189"/>
    <x v="0"/>
    <n v="2024"/>
    <x v="4"/>
    <x v="120"/>
    <s v="Túnel completo + banco"/>
    <n v="189"/>
    <n v="184"/>
    <n v="184"/>
    <m/>
    <m/>
    <n v="184"/>
    <m/>
    <m/>
    <n v="184"/>
    <m/>
    <x v="0"/>
    <m/>
    <m/>
    <m/>
    <m/>
    <n v="93"/>
    <n v="600"/>
    <m/>
    <m/>
    <m/>
    <m/>
    <m/>
    <m/>
    <m/>
    <m/>
    <e v="#REF!"/>
    <m/>
    <m/>
    <m/>
    <m/>
    <m/>
    <m/>
    <m/>
    <m/>
    <m/>
    <s v="Túnel completo + banco-Vol 189"/>
    <m/>
  </r>
  <r>
    <n v="104"/>
    <x v="1"/>
    <n v="2024"/>
    <x v="4"/>
    <x v="120"/>
    <s v="Túnel completo + desquinche  "/>
    <n v="104"/>
    <n v="119"/>
    <n v="119"/>
    <m/>
    <m/>
    <n v="119"/>
    <m/>
    <m/>
    <n v="119"/>
    <m/>
    <x v="0"/>
    <n v="90"/>
    <n v="674"/>
    <m/>
    <m/>
    <m/>
    <n v="400"/>
    <m/>
    <m/>
    <m/>
    <m/>
    <m/>
    <m/>
    <m/>
    <m/>
    <e v="#REF!"/>
    <m/>
    <m/>
    <m/>
    <m/>
    <m/>
    <m/>
    <m/>
    <m/>
    <m/>
    <s v="Túnel completo + desquinche  -Vol 104"/>
    <m/>
  </r>
  <r>
    <n v="190"/>
    <x v="0"/>
    <n v="2024"/>
    <x v="4"/>
    <x v="120"/>
    <s v="Túnel completo"/>
    <n v="190"/>
    <n v="166"/>
    <n v="166"/>
    <m/>
    <m/>
    <n v="166"/>
    <m/>
    <m/>
    <n v="166"/>
    <m/>
    <x v="0"/>
    <n v="171"/>
    <n v="1692"/>
    <m/>
    <m/>
    <n v="143"/>
    <n v="600"/>
    <m/>
    <m/>
    <m/>
    <m/>
    <m/>
    <m/>
    <m/>
    <m/>
    <e v="#REF!"/>
    <m/>
    <m/>
    <m/>
    <m/>
    <m/>
    <m/>
    <m/>
    <m/>
    <m/>
    <s v="Túnel completo-Vol 190"/>
    <m/>
  </r>
  <r>
    <n v="191"/>
    <x v="0"/>
    <n v="2024"/>
    <x v="4"/>
    <x v="121"/>
    <s v="Túnel completo + banco"/>
    <n v="191"/>
    <n v="188"/>
    <n v="188"/>
    <m/>
    <m/>
    <n v="188"/>
    <m/>
    <m/>
    <n v="188"/>
    <m/>
    <x v="0"/>
    <n v="138"/>
    <n v="1813"/>
    <m/>
    <m/>
    <n v="169"/>
    <n v="600"/>
    <m/>
    <m/>
    <m/>
    <m/>
    <m/>
    <m/>
    <m/>
    <m/>
    <e v="#REF!"/>
    <m/>
    <m/>
    <m/>
    <m/>
    <m/>
    <m/>
    <m/>
    <m/>
    <m/>
    <s v="Túnel completo + banco-Vol 191"/>
    <m/>
  </r>
  <r>
    <n v="105"/>
    <x v="1"/>
    <n v="2024"/>
    <x v="4"/>
    <x v="121"/>
    <s v="Túnel completo + desquinche  "/>
    <n v="105"/>
    <n v="128"/>
    <n v="128"/>
    <m/>
    <m/>
    <n v="128"/>
    <m/>
    <m/>
    <n v="128"/>
    <m/>
    <x v="0"/>
    <n v="118"/>
    <n v="775"/>
    <m/>
    <m/>
    <n v="200"/>
    <n v="400"/>
    <m/>
    <m/>
    <m/>
    <m/>
    <m/>
    <m/>
    <m/>
    <m/>
    <e v="#REF!"/>
    <m/>
    <m/>
    <m/>
    <m/>
    <m/>
    <m/>
    <m/>
    <m/>
    <m/>
    <s v="Túnel completo + desquinche  -Vol 105"/>
    <m/>
  </r>
  <r>
    <n v="106"/>
    <x v="1"/>
    <n v="2024"/>
    <x v="4"/>
    <x v="121"/>
    <s v="Túnel completo + desquinche  "/>
    <n v="106"/>
    <n v="107"/>
    <n v="107"/>
    <m/>
    <m/>
    <n v="107"/>
    <m/>
    <m/>
    <n v="107"/>
    <m/>
    <x v="0"/>
    <n v="90"/>
    <n v="473"/>
    <m/>
    <m/>
    <n v="400"/>
    <n v="400"/>
    <m/>
    <m/>
    <m/>
    <m/>
    <m/>
    <m/>
    <m/>
    <m/>
    <e v="#REF!"/>
    <m/>
    <m/>
    <m/>
    <m/>
    <m/>
    <m/>
    <m/>
    <m/>
    <m/>
    <s v="Túnel completo + desquinche  -Vol 106"/>
    <m/>
  </r>
  <r>
    <n v="192"/>
    <x v="0"/>
    <n v="2024"/>
    <x v="4"/>
    <x v="121"/>
    <s v="Túnel completo + banco"/>
    <n v="192"/>
    <n v="163"/>
    <n v="163"/>
    <m/>
    <m/>
    <n v="163"/>
    <m/>
    <m/>
    <n v="163"/>
    <m/>
    <x v="0"/>
    <n v="610"/>
    <n v="1479"/>
    <m/>
    <m/>
    <n v="137"/>
    <n v="600"/>
    <m/>
    <m/>
    <m/>
    <m/>
    <m/>
    <m/>
    <m/>
    <m/>
    <e v="#REF!"/>
    <m/>
    <m/>
    <m/>
    <m/>
    <m/>
    <m/>
    <m/>
    <m/>
    <m/>
    <s v="Túnel completo + banco-Vol 192"/>
    <m/>
  </r>
  <r>
    <n v="107"/>
    <x v="1"/>
    <n v="2024"/>
    <x v="4"/>
    <x v="122"/>
    <s v="Túnel completo + desquinche  "/>
    <n v="107"/>
    <n v="119"/>
    <n v="119"/>
    <m/>
    <m/>
    <n v="119"/>
    <m/>
    <m/>
    <n v="119"/>
    <m/>
    <x v="0"/>
    <n v="219"/>
    <n v="815"/>
    <m/>
    <m/>
    <m/>
    <n v="400"/>
    <m/>
    <m/>
    <m/>
    <m/>
    <m/>
    <m/>
    <m/>
    <m/>
    <e v="#REF!"/>
    <m/>
    <m/>
    <m/>
    <m/>
    <m/>
    <m/>
    <m/>
    <m/>
    <m/>
    <s v="Túnel completo + desquinche  -Vol 107"/>
    <m/>
  </r>
  <r>
    <n v="193"/>
    <x v="0"/>
    <n v="2024"/>
    <x v="4"/>
    <x v="122"/>
    <s v="Túnel completo + banco"/>
    <n v="193"/>
    <n v="178"/>
    <n v="178"/>
    <m/>
    <m/>
    <n v="178"/>
    <m/>
    <m/>
    <n v="178"/>
    <m/>
    <x v="0"/>
    <n v="159"/>
    <n v="1782"/>
    <m/>
    <m/>
    <n v="116"/>
    <n v="600"/>
    <m/>
    <m/>
    <m/>
    <m/>
    <m/>
    <m/>
    <m/>
    <m/>
    <e v="#REF!"/>
    <m/>
    <m/>
    <m/>
    <m/>
    <m/>
    <m/>
    <m/>
    <m/>
    <m/>
    <s v="Túnel completo + banco-Vol 193"/>
    <m/>
  </r>
  <r>
    <n v="194"/>
    <x v="0"/>
    <n v="2024"/>
    <x v="4"/>
    <x v="122"/>
    <s v="Túnel completo + banco"/>
    <n v="194"/>
    <n v="171"/>
    <n v="171"/>
    <m/>
    <m/>
    <n v="171"/>
    <m/>
    <m/>
    <n v="171"/>
    <m/>
    <x v="0"/>
    <n v="75"/>
    <n v="1833"/>
    <m/>
    <m/>
    <n v="166"/>
    <n v="600"/>
    <m/>
    <m/>
    <m/>
    <m/>
    <m/>
    <m/>
    <m/>
    <m/>
    <e v="#REF!"/>
    <m/>
    <m/>
    <m/>
    <m/>
    <m/>
    <m/>
    <m/>
    <m/>
    <m/>
    <s v="Túnel completo + banco-Vol 194"/>
    <m/>
  </r>
  <r>
    <n v="108"/>
    <x v="1"/>
    <n v="2024"/>
    <x v="4"/>
    <x v="122"/>
    <s v="Túnel completo + desquinche  "/>
    <n v="108"/>
    <n v="112"/>
    <n v="112"/>
    <m/>
    <m/>
    <n v="112"/>
    <m/>
    <m/>
    <n v="112"/>
    <m/>
    <x v="0"/>
    <n v="157"/>
    <n v="659"/>
    <m/>
    <m/>
    <n v="100"/>
    <n v="400"/>
    <m/>
    <m/>
    <m/>
    <m/>
    <m/>
    <m/>
    <m/>
    <m/>
    <e v="#REF!"/>
    <m/>
    <m/>
    <m/>
    <m/>
    <m/>
    <m/>
    <m/>
    <m/>
    <m/>
    <s v="Túnel completo + desquinche  -Vol 108"/>
    <m/>
  </r>
  <r>
    <n v="195"/>
    <x v="0"/>
    <n v="2024"/>
    <x v="4"/>
    <x v="123"/>
    <s v="Túnel completo + banco"/>
    <n v="195"/>
    <n v="172"/>
    <n v="172"/>
    <m/>
    <m/>
    <n v="172"/>
    <m/>
    <m/>
    <n v="172"/>
    <m/>
    <x v="0"/>
    <n v="72"/>
    <n v="1699"/>
    <m/>
    <m/>
    <n v="182"/>
    <n v="400"/>
    <m/>
    <m/>
    <m/>
    <m/>
    <m/>
    <m/>
    <m/>
    <m/>
    <e v="#REF!"/>
    <m/>
    <m/>
    <m/>
    <m/>
    <m/>
    <m/>
    <m/>
    <m/>
    <m/>
    <s v="Túnel completo + banco-Vol 195"/>
    <m/>
  </r>
  <r>
    <n v="109"/>
    <x v="1"/>
    <n v="2024"/>
    <x v="4"/>
    <x v="123"/>
    <s v="Túnel completo + desquinche  "/>
    <n v="109"/>
    <n v="123"/>
    <n v="123"/>
    <m/>
    <m/>
    <n v="123"/>
    <m/>
    <m/>
    <n v="123"/>
    <m/>
    <x v="0"/>
    <n v="109"/>
    <n v="867"/>
    <m/>
    <m/>
    <n v="100"/>
    <n v="400"/>
    <m/>
    <m/>
    <m/>
    <m/>
    <m/>
    <m/>
    <m/>
    <m/>
    <e v="#REF!"/>
    <m/>
    <m/>
    <m/>
    <m/>
    <m/>
    <m/>
    <m/>
    <m/>
    <m/>
    <s v="Túnel completo + desquinche  -Vol 109"/>
    <m/>
  </r>
  <r>
    <n v="110"/>
    <x v="1"/>
    <n v="2024"/>
    <x v="4"/>
    <x v="124"/>
    <s v="Túnel completo"/>
    <n v="110"/>
    <n v="112"/>
    <n v="112"/>
    <m/>
    <m/>
    <n v="112"/>
    <m/>
    <m/>
    <n v="112"/>
    <m/>
    <x v="0"/>
    <n v="77"/>
    <n v="649"/>
    <m/>
    <m/>
    <n v="100"/>
    <n v="200"/>
    <m/>
    <m/>
    <m/>
    <m/>
    <m/>
    <m/>
    <m/>
    <m/>
    <e v="#REF!"/>
    <m/>
    <m/>
    <m/>
    <m/>
    <m/>
    <m/>
    <m/>
    <m/>
    <m/>
    <s v="Túnel completo-Vol 110"/>
    <m/>
  </r>
  <r>
    <n v="196"/>
    <x v="0"/>
    <n v="2024"/>
    <x v="4"/>
    <x v="123"/>
    <s v="Túnel completo + desquinche  "/>
    <n v="196"/>
    <n v="196"/>
    <n v="196"/>
    <m/>
    <m/>
    <n v="196"/>
    <m/>
    <m/>
    <n v="196"/>
    <m/>
    <x v="0"/>
    <n v="381"/>
    <n v="1728"/>
    <m/>
    <m/>
    <n v="100"/>
    <n v="600"/>
    <m/>
    <m/>
    <m/>
    <m/>
    <m/>
    <m/>
    <m/>
    <m/>
    <e v="#REF!"/>
    <m/>
    <m/>
    <m/>
    <m/>
    <m/>
    <m/>
    <m/>
    <m/>
    <m/>
    <s v="Túnel completo + desquinche  -Vol 196"/>
    <m/>
  </r>
  <r>
    <n v="111"/>
    <x v="1"/>
    <n v="2024"/>
    <x v="4"/>
    <x v="125"/>
    <s v="Túnel completo + desquinche  "/>
    <n v="111"/>
    <n v="143"/>
    <n v="143"/>
    <m/>
    <m/>
    <n v="143"/>
    <m/>
    <m/>
    <n v="143"/>
    <m/>
    <x v="0"/>
    <m/>
    <n v="1007"/>
    <m/>
    <m/>
    <n v="100"/>
    <n v="400"/>
    <m/>
    <m/>
    <m/>
    <m/>
    <m/>
    <m/>
    <m/>
    <m/>
    <e v="#REF!"/>
    <m/>
    <m/>
    <m/>
    <m/>
    <m/>
    <m/>
    <m/>
    <m/>
    <m/>
    <s v="Túnel completo + desquinche  -Vol 111"/>
    <m/>
  </r>
  <r>
    <n v="197"/>
    <x v="0"/>
    <n v="2024"/>
    <x v="4"/>
    <x v="125"/>
    <s v="Túnel completo"/>
    <n v="197"/>
    <n v="188"/>
    <n v="188"/>
    <m/>
    <m/>
    <n v="188"/>
    <m/>
    <m/>
    <n v="188"/>
    <m/>
    <x v="0"/>
    <n v="217"/>
    <n v="1582"/>
    <m/>
    <m/>
    <n v="104"/>
    <n v="400"/>
    <m/>
    <m/>
    <m/>
    <m/>
    <m/>
    <m/>
    <m/>
    <m/>
    <e v="#REF!"/>
    <m/>
    <m/>
    <m/>
    <m/>
    <m/>
    <m/>
    <m/>
    <m/>
    <m/>
    <s v="Túnel completo-Vol 197"/>
    <m/>
  </r>
  <r>
    <n v="112"/>
    <x v="1"/>
    <n v="2024"/>
    <x v="4"/>
    <x v="125"/>
    <s v="Túnel completo + desquinche  "/>
    <n v="112"/>
    <n v="142"/>
    <n v="142"/>
    <m/>
    <m/>
    <n v="142"/>
    <m/>
    <m/>
    <n v="142"/>
    <m/>
    <x v="0"/>
    <n v="134"/>
    <n v="1056"/>
    <m/>
    <m/>
    <n v="100"/>
    <n v="400"/>
    <m/>
    <m/>
    <m/>
    <m/>
    <m/>
    <m/>
    <m/>
    <m/>
    <e v="#REF!"/>
    <m/>
    <m/>
    <m/>
    <m/>
    <m/>
    <m/>
    <m/>
    <m/>
    <m/>
    <s v="Túnel completo + desquinche  -Vol 112"/>
    <m/>
  </r>
  <r>
    <n v="198"/>
    <x v="0"/>
    <n v="2024"/>
    <x v="4"/>
    <x v="126"/>
    <s v="Túnel completo + banco"/>
    <n v="179"/>
    <n v="179"/>
    <n v="179"/>
    <m/>
    <m/>
    <n v="179"/>
    <m/>
    <m/>
    <n v="179"/>
    <m/>
    <x v="0"/>
    <n v="168"/>
    <n v="1709"/>
    <m/>
    <m/>
    <n v="170"/>
    <n v="600"/>
    <m/>
    <m/>
    <m/>
    <m/>
    <m/>
    <m/>
    <m/>
    <m/>
    <e v="#REF!"/>
    <m/>
    <m/>
    <m/>
    <m/>
    <m/>
    <m/>
    <m/>
    <m/>
    <m/>
    <s v="Túnel completo + banco-Vol 179"/>
    <m/>
  </r>
  <r>
    <n v="113"/>
    <x v="1"/>
    <n v="2024"/>
    <x v="6"/>
    <x v="127"/>
    <s v="Túnel completo + desquinche  "/>
    <n v="113"/>
    <n v="136"/>
    <n v="136"/>
    <m/>
    <m/>
    <n v="136"/>
    <m/>
    <m/>
    <n v="136"/>
    <m/>
    <x v="0"/>
    <n v="184"/>
    <n v="1332"/>
    <m/>
    <m/>
    <n v="115"/>
    <n v="400"/>
    <m/>
    <m/>
    <m/>
    <m/>
    <m/>
    <m/>
    <m/>
    <m/>
    <e v="#REF!"/>
    <m/>
    <m/>
    <m/>
    <m/>
    <m/>
    <m/>
    <m/>
    <m/>
    <m/>
    <s v="Túnel completo + desquinche  -Vol 113"/>
    <m/>
  </r>
  <r>
    <n v="199"/>
    <x v="0"/>
    <n v="2024"/>
    <x v="6"/>
    <x v="127"/>
    <s v="Túnel completo + banco"/>
    <n v="199"/>
    <n v="184"/>
    <n v="0"/>
    <m/>
    <n v="184"/>
    <n v="184"/>
    <m/>
    <m/>
    <n v="184"/>
    <m/>
    <x v="0"/>
    <n v="196"/>
    <n v="1673"/>
    <m/>
    <m/>
    <n v="155"/>
    <n v="0"/>
    <n v="600"/>
    <m/>
    <m/>
    <m/>
    <m/>
    <m/>
    <m/>
    <m/>
    <e v="#REF!"/>
    <m/>
    <m/>
    <m/>
    <m/>
    <m/>
    <m/>
    <m/>
    <m/>
    <m/>
    <s v="Túnel completo + banco-Vol 199"/>
    <m/>
  </r>
  <r>
    <n v="114"/>
    <x v="1"/>
    <n v="2024"/>
    <x v="6"/>
    <x v="127"/>
    <s v="Túnel completo + desquinche  "/>
    <n v="114"/>
    <n v="136"/>
    <n v="136"/>
    <m/>
    <m/>
    <n v="136"/>
    <m/>
    <m/>
    <n v="136"/>
    <m/>
    <x v="0"/>
    <n v="95"/>
    <n v="1111"/>
    <m/>
    <m/>
    <n v="120"/>
    <n v="400"/>
    <n v="0"/>
    <m/>
    <m/>
    <m/>
    <m/>
    <m/>
    <m/>
    <m/>
    <e v="#REF!"/>
    <m/>
    <m/>
    <m/>
    <m/>
    <m/>
    <m/>
    <m/>
    <m/>
    <m/>
    <s v="Túnel completo + desquinche  -Vol 114"/>
    <m/>
  </r>
  <r>
    <n v="200"/>
    <x v="0"/>
    <n v="2024"/>
    <x v="6"/>
    <x v="127"/>
    <s v="Túnel completo + banco"/>
    <n v="200"/>
    <n v="186"/>
    <n v="0"/>
    <m/>
    <n v="186"/>
    <n v="186"/>
    <m/>
    <m/>
    <n v="186"/>
    <m/>
    <x v="0"/>
    <n v="334"/>
    <n v="1763"/>
    <m/>
    <m/>
    <n v="200"/>
    <n v="0"/>
    <n v="600"/>
    <m/>
    <m/>
    <m/>
    <m/>
    <m/>
    <m/>
    <m/>
    <e v="#REF!"/>
    <m/>
    <m/>
    <m/>
    <m/>
    <m/>
    <m/>
    <m/>
    <m/>
    <m/>
    <s v="Túnel completo + banco-Vol 200"/>
    <m/>
  </r>
  <r>
    <n v="115"/>
    <x v="1"/>
    <n v="2024"/>
    <x v="6"/>
    <x v="128"/>
    <s v="Túnel completo + desquinche  "/>
    <n v="115"/>
    <n v="138"/>
    <n v="138"/>
    <m/>
    <m/>
    <n v="138"/>
    <m/>
    <m/>
    <n v="138"/>
    <m/>
    <x v="0"/>
    <n v="77"/>
    <n v="1376"/>
    <m/>
    <m/>
    <n v="0"/>
    <n v="400"/>
    <n v="0"/>
    <m/>
    <m/>
    <m/>
    <m/>
    <m/>
    <m/>
    <m/>
    <e v="#REF!"/>
    <m/>
    <m/>
    <m/>
    <m/>
    <m/>
    <m/>
    <m/>
    <m/>
    <m/>
    <s v="Túnel completo + desquinche  -Vol 115"/>
    <m/>
  </r>
  <r>
    <n v="201"/>
    <x v="0"/>
    <n v="2024"/>
    <x v="6"/>
    <x v="128"/>
    <s v="Túnel completo + banco"/>
    <n v="201"/>
    <n v="185"/>
    <n v="0"/>
    <m/>
    <n v="185"/>
    <n v="185"/>
    <m/>
    <m/>
    <n v="185"/>
    <m/>
    <x v="0"/>
    <n v="352"/>
    <n v="1682"/>
    <m/>
    <m/>
    <n v="152"/>
    <n v="0"/>
    <n v="600"/>
    <m/>
    <m/>
    <m/>
    <m/>
    <m/>
    <m/>
    <m/>
    <e v="#REF!"/>
    <m/>
    <m/>
    <m/>
    <m/>
    <m/>
    <m/>
    <m/>
    <m/>
    <m/>
    <s v="Túnel completo + banco-Vol 201"/>
    <m/>
  </r>
  <r>
    <n v="116"/>
    <x v="1"/>
    <n v="2024"/>
    <x v="6"/>
    <x v="128"/>
    <s v="Túnel completo + desquinche  "/>
    <n v="116"/>
    <n v="141"/>
    <n v="141"/>
    <m/>
    <m/>
    <n v="141"/>
    <m/>
    <m/>
    <n v="141"/>
    <m/>
    <x v="0"/>
    <n v="116"/>
    <n v="1346"/>
    <m/>
    <m/>
    <n v="115"/>
    <n v="400"/>
    <n v="0"/>
    <m/>
    <m/>
    <m/>
    <m/>
    <m/>
    <m/>
    <m/>
    <e v="#REF!"/>
    <m/>
    <m/>
    <m/>
    <m/>
    <m/>
    <m/>
    <m/>
    <m/>
    <m/>
    <s v="Túnel completo + desquinche  -Vol 116"/>
    <m/>
  </r>
  <r>
    <n v="202"/>
    <x v="0"/>
    <n v="2024"/>
    <x v="6"/>
    <x v="128"/>
    <s v="Túnel completo + banco"/>
    <n v="202"/>
    <n v="200"/>
    <n v="0"/>
    <m/>
    <n v="200"/>
    <n v="200"/>
    <m/>
    <m/>
    <n v="200"/>
    <m/>
    <x v="0"/>
    <n v="491"/>
    <n v="1723"/>
    <m/>
    <m/>
    <n v="104"/>
    <n v="0"/>
    <n v="600"/>
    <m/>
    <m/>
    <m/>
    <m/>
    <m/>
    <m/>
    <m/>
    <e v="#REF!"/>
    <m/>
    <m/>
    <m/>
    <m/>
    <m/>
    <m/>
    <m/>
    <m/>
    <m/>
    <s v="Túnel completo + banco-Vol 202"/>
    <m/>
  </r>
  <r>
    <n v="117"/>
    <x v="1"/>
    <n v="2024"/>
    <x v="6"/>
    <x v="129"/>
    <s v="Túnel completo + desquinche  "/>
    <n v="117"/>
    <n v="163"/>
    <n v="0"/>
    <m/>
    <n v="163"/>
    <n v="163"/>
    <m/>
    <m/>
    <n v="163"/>
    <m/>
    <x v="0"/>
    <n v="154"/>
    <n v="1481"/>
    <m/>
    <m/>
    <n v="200"/>
    <n v="0"/>
    <n v="400"/>
    <m/>
    <m/>
    <m/>
    <m/>
    <m/>
    <m/>
    <m/>
    <e v="#REF!"/>
    <m/>
    <m/>
    <m/>
    <m/>
    <m/>
    <m/>
    <m/>
    <m/>
    <m/>
    <s v="Túnel completo + desquinche  -Vol 117"/>
    <m/>
  </r>
  <r>
    <n v="203"/>
    <x v="0"/>
    <n v="2024"/>
    <x v="6"/>
    <x v="129"/>
    <s v="Túnel completo + banco"/>
    <n v="203"/>
    <n v="161"/>
    <n v="0"/>
    <m/>
    <n v="161"/>
    <n v="161"/>
    <m/>
    <m/>
    <n v="161"/>
    <m/>
    <x v="0"/>
    <n v="94"/>
    <n v="1296"/>
    <m/>
    <m/>
    <n v="200"/>
    <n v="0"/>
    <n v="600"/>
    <m/>
    <m/>
    <m/>
    <m/>
    <m/>
    <m/>
    <m/>
    <e v="#REF!"/>
    <m/>
    <m/>
    <m/>
    <m/>
    <m/>
    <m/>
    <m/>
    <m/>
    <m/>
    <s v="Túnel completo + banco-Vol 203"/>
    <m/>
  </r>
  <r>
    <n v="118"/>
    <x v="1"/>
    <n v="2024"/>
    <x v="6"/>
    <x v="129"/>
    <s v="Túnel completo"/>
    <n v="118"/>
    <n v="141"/>
    <n v="0"/>
    <m/>
    <n v="141"/>
    <n v="141"/>
    <m/>
    <m/>
    <n v="141"/>
    <m/>
    <x v="0"/>
    <n v="187"/>
    <n v="1452"/>
    <m/>
    <m/>
    <n v="189"/>
    <n v="0"/>
    <n v="200"/>
    <m/>
    <m/>
    <m/>
    <m/>
    <m/>
    <m/>
    <m/>
    <e v="#REF!"/>
    <m/>
    <m/>
    <m/>
    <m/>
    <m/>
    <m/>
    <m/>
    <m/>
    <m/>
    <s v="Túnel completo-Vol 118"/>
    <m/>
  </r>
  <r>
    <n v="204"/>
    <x v="0"/>
    <n v="2024"/>
    <x v="6"/>
    <x v="129"/>
    <s v="Túnel completo + banco"/>
    <n v="204"/>
    <n v="169"/>
    <n v="0"/>
    <m/>
    <n v="169"/>
    <n v="169"/>
    <m/>
    <m/>
    <n v="169"/>
    <m/>
    <x v="0"/>
    <n v="338"/>
    <n v="1322"/>
    <m/>
    <m/>
    <n v="95"/>
    <n v="0"/>
    <n v="600"/>
    <m/>
    <m/>
    <m/>
    <m/>
    <m/>
    <m/>
    <m/>
    <e v="#REF!"/>
    <m/>
    <m/>
    <m/>
    <m/>
    <m/>
    <m/>
    <m/>
    <m/>
    <m/>
    <s v="Túnel completo + banco-Vol 204"/>
    <m/>
  </r>
  <r>
    <n v="119"/>
    <x v="1"/>
    <n v="2024"/>
    <x v="6"/>
    <x v="130"/>
    <s v="Túnel completo + banco"/>
    <n v="119"/>
    <n v="148"/>
    <n v="0"/>
    <m/>
    <n v="148"/>
    <n v="148"/>
    <m/>
    <m/>
    <n v="148"/>
    <m/>
    <x v="0"/>
    <n v="90"/>
    <n v="1621"/>
    <m/>
    <m/>
    <n v="200"/>
    <n v="0"/>
    <n v="400"/>
    <m/>
    <m/>
    <m/>
    <m/>
    <m/>
    <m/>
    <m/>
    <e v="#REF!"/>
    <m/>
    <m/>
    <m/>
    <m/>
    <m/>
    <m/>
    <m/>
    <m/>
    <m/>
    <s v="Túnel completo + banco-Vol 119"/>
    <m/>
  </r>
  <r>
    <n v="205"/>
    <x v="0"/>
    <n v="2024"/>
    <x v="7"/>
    <x v="130"/>
    <s v="Túnel completo + banco"/>
    <n v="205"/>
    <n v="162"/>
    <n v="0"/>
    <m/>
    <n v="162"/>
    <n v="162"/>
    <m/>
    <m/>
    <n v="162"/>
    <m/>
    <x v="0"/>
    <n v="230"/>
    <n v="1039"/>
    <m/>
    <m/>
    <n v="150"/>
    <n v="0"/>
    <n v="400"/>
    <m/>
    <m/>
    <m/>
    <m/>
    <m/>
    <m/>
    <m/>
    <e v="#REF!"/>
    <m/>
    <m/>
    <m/>
    <m/>
    <m/>
    <m/>
    <m/>
    <m/>
    <m/>
    <s v="Túnel completo + banco-Vol 205"/>
    <m/>
  </r>
  <r>
    <n v="120"/>
    <x v="1"/>
    <n v="2024"/>
    <x v="6"/>
    <x v="130"/>
    <s v="Túnel completo"/>
    <n v="120"/>
    <n v="132"/>
    <n v="0"/>
    <m/>
    <n v="132"/>
    <n v="132"/>
    <m/>
    <m/>
    <n v="132"/>
    <m/>
    <x v="0"/>
    <n v="180"/>
    <n v="1318"/>
    <m/>
    <m/>
    <n v="200"/>
    <n v="0"/>
    <n v="400"/>
    <m/>
    <m/>
    <m/>
    <m/>
    <m/>
    <m/>
    <m/>
    <e v="#REF!"/>
    <m/>
    <m/>
    <m/>
    <m/>
    <m/>
    <m/>
    <m/>
    <m/>
    <m/>
    <s v="Túnel completo-Vol 120"/>
    <m/>
  </r>
  <r>
    <n v="206"/>
    <x v="0"/>
    <n v="2024"/>
    <x v="6"/>
    <x v="130"/>
    <s v="Túnel completo"/>
    <n v="206"/>
    <n v="112"/>
    <n v="0"/>
    <m/>
    <n v="112"/>
    <n v="112"/>
    <m/>
    <m/>
    <n v="112"/>
    <m/>
    <x v="0"/>
    <n v="93"/>
    <n v="707"/>
    <m/>
    <m/>
    <n v="70"/>
    <n v="0"/>
    <n v="0"/>
    <m/>
    <m/>
    <m/>
    <m/>
    <m/>
    <m/>
    <m/>
    <e v="#REF!"/>
    <m/>
    <m/>
    <m/>
    <m/>
    <m/>
    <m/>
    <m/>
    <m/>
    <m/>
    <s v="Túnel completo-Vol 206"/>
    <m/>
  </r>
  <r>
    <n v="207"/>
    <x v="0"/>
    <n v="2024"/>
    <x v="6"/>
    <x v="131"/>
    <s v="Túnel completo"/>
    <n v="207"/>
    <n v="147"/>
    <n v="0"/>
    <m/>
    <n v="147"/>
    <n v="147"/>
    <m/>
    <m/>
    <n v="147"/>
    <m/>
    <x v="0"/>
    <n v="110"/>
    <n v="1153"/>
    <m/>
    <m/>
    <n v="171"/>
    <n v="0"/>
    <n v="400"/>
    <m/>
    <m/>
    <m/>
    <m/>
    <m/>
    <m/>
    <m/>
    <e v="#REF!"/>
    <m/>
    <m/>
    <m/>
    <m/>
    <m/>
    <m/>
    <m/>
    <m/>
    <m/>
    <s v="Túnel completo-Vol 207"/>
    <m/>
  </r>
  <r>
    <n v="121"/>
    <x v="1"/>
    <n v="2024"/>
    <x v="6"/>
    <x v="131"/>
    <s v="Túnel completo"/>
    <n v="121"/>
    <n v="26"/>
    <n v="0"/>
    <m/>
    <n v="26"/>
    <n v="26"/>
    <m/>
    <m/>
    <n v="26"/>
    <m/>
    <x v="0"/>
    <n v="0"/>
    <n v="176"/>
    <m/>
    <m/>
    <n v="0"/>
    <n v="0"/>
    <n v="200"/>
    <m/>
    <m/>
    <m/>
    <m/>
    <m/>
    <m/>
    <m/>
    <e v="#REF!"/>
    <m/>
    <m/>
    <m/>
    <m/>
    <m/>
    <m/>
    <m/>
    <m/>
    <m/>
    <s v="Túnel completo-Vol 121"/>
    <m/>
  </r>
  <r>
    <s v="208 - 64 banco"/>
    <x v="0"/>
    <n v="2024"/>
    <x v="6"/>
    <x v="131"/>
    <s v="BANCO"/>
    <n v="64"/>
    <n v="11"/>
    <n v="0"/>
    <m/>
    <n v="11"/>
    <n v="11"/>
    <m/>
    <m/>
    <n v="11"/>
    <m/>
    <x v="0"/>
    <n v="33"/>
    <n v="47.5"/>
    <m/>
    <m/>
    <n v="0"/>
    <n v="0"/>
    <n v="200"/>
    <m/>
    <m/>
    <m/>
    <m/>
    <m/>
    <m/>
    <m/>
    <e v="#REF!"/>
    <m/>
    <m/>
    <m/>
    <m/>
    <m/>
    <m/>
    <m/>
    <m/>
    <m/>
    <s v="BANCO-Vol 64"/>
    <m/>
  </r>
  <r>
    <n v="122"/>
    <x v="1"/>
    <n v="2024"/>
    <x v="6"/>
    <x v="132"/>
    <s v="GAL 01 y GAL 02"/>
    <n v="122"/>
    <n v="36"/>
    <n v="0"/>
    <m/>
    <n v="36"/>
    <n v="36"/>
    <m/>
    <m/>
    <n v="36"/>
    <m/>
    <x v="0"/>
    <n v="0"/>
    <n v="155"/>
    <m/>
    <m/>
    <n v="100"/>
    <n v="0"/>
    <n v="200"/>
    <m/>
    <m/>
    <m/>
    <m/>
    <m/>
    <m/>
    <m/>
    <e v="#REF!"/>
    <m/>
    <m/>
    <m/>
    <m/>
    <m/>
    <m/>
    <m/>
    <m/>
    <m/>
    <s v="GAL 01 y GAL 02-Vol 122"/>
    <m/>
  </r>
  <r>
    <s v="209 - 65 banco"/>
    <x v="0"/>
    <n v="2024"/>
    <x v="6"/>
    <x v="132"/>
    <s v="BANCO"/>
    <n v="209"/>
    <n v="88"/>
    <n v="0"/>
    <m/>
    <n v="88"/>
    <n v="88"/>
    <m/>
    <m/>
    <n v="88"/>
    <m/>
    <x v="0"/>
    <n v="0"/>
    <n v="319.5"/>
    <m/>
    <m/>
    <n v="0"/>
    <n v="0"/>
    <n v="200"/>
    <m/>
    <m/>
    <m/>
    <m/>
    <m/>
    <m/>
    <m/>
    <e v="#REF!"/>
    <m/>
    <m/>
    <m/>
    <m/>
    <m/>
    <m/>
    <m/>
    <m/>
    <m/>
    <s v="Banco-Vol 209"/>
    <m/>
  </r>
  <r>
    <n v="123"/>
    <x v="1"/>
    <n v="2024"/>
    <x v="6"/>
    <x v="132"/>
    <s v="BANCO"/>
    <n v="123"/>
    <n v="70"/>
    <n v="0"/>
    <m/>
    <n v="70"/>
    <n v="70"/>
    <m/>
    <m/>
    <n v="70"/>
    <m/>
    <x v="0"/>
    <n v="0"/>
    <n v="467"/>
    <m/>
    <m/>
    <n v="0"/>
    <n v="0"/>
    <n v="200"/>
    <m/>
    <m/>
    <m/>
    <m/>
    <m/>
    <m/>
    <m/>
    <e v="#REF!"/>
    <m/>
    <m/>
    <m/>
    <m/>
    <m/>
    <m/>
    <m/>
    <m/>
    <m/>
    <s v="Banco-Vol 123"/>
    <m/>
  </r>
  <r>
    <s v="210 - banco 66"/>
    <x v="0"/>
    <n v="2024"/>
    <x v="6"/>
    <x v="133"/>
    <s v="BANCO"/>
    <n v="210"/>
    <n v="63"/>
    <n v="0"/>
    <m/>
    <n v="63"/>
    <n v="63"/>
    <m/>
    <m/>
    <n v="63"/>
    <m/>
    <x v="0"/>
    <n v="0"/>
    <n v="410"/>
    <m/>
    <m/>
    <n v="0"/>
    <n v="0"/>
    <n v="400"/>
    <m/>
    <m/>
    <m/>
    <m/>
    <m/>
    <m/>
    <m/>
    <e v="#REF!"/>
    <m/>
    <m/>
    <m/>
    <m/>
    <m/>
    <m/>
    <m/>
    <m/>
    <m/>
    <s v="Banco-Vol 210"/>
    <m/>
  </r>
  <r>
    <n v="124"/>
    <x v="1"/>
    <n v="2024"/>
    <x v="6"/>
    <x v="133"/>
    <s v="BANCO"/>
    <n v="124"/>
    <n v="96"/>
    <n v="0"/>
    <m/>
    <n v="96"/>
    <n v="96"/>
    <m/>
    <m/>
    <n v="96"/>
    <m/>
    <x v="0"/>
    <n v="0"/>
    <n v="719"/>
    <m/>
    <m/>
    <n v="0"/>
    <n v="0"/>
    <n v="400"/>
    <m/>
    <m/>
    <m/>
    <m/>
    <m/>
    <m/>
    <m/>
    <e v="#REF!"/>
    <m/>
    <m/>
    <m/>
    <m/>
    <m/>
    <m/>
    <m/>
    <m/>
    <m/>
    <s v="Banco-Vol 124"/>
    <m/>
  </r>
  <r>
    <s v="211-banco 67"/>
    <x v="0"/>
    <n v="2024"/>
    <x v="6"/>
    <x v="133"/>
    <s v="BANCO"/>
    <n v="211"/>
    <n v="63"/>
    <n v="0"/>
    <m/>
    <n v="63"/>
    <n v="63"/>
    <m/>
    <m/>
    <n v="63"/>
    <m/>
    <x v="0"/>
    <n v="0"/>
    <n v="674.5"/>
    <m/>
    <m/>
    <n v="0"/>
    <n v="0"/>
    <n v="200"/>
    <m/>
    <m/>
    <m/>
    <m/>
    <m/>
    <m/>
    <m/>
    <e v="#REF!"/>
    <m/>
    <m/>
    <m/>
    <m/>
    <m/>
    <m/>
    <m/>
    <m/>
    <m/>
    <s v="Banco-Vol 211"/>
    <m/>
  </r>
  <r>
    <n v="125"/>
    <x v="1"/>
    <n v="2024"/>
    <x v="6"/>
    <x v="133"/>
    <s v="Banco + desquinche"/>
    <n v="125"/>
    <n v="71"/>
    <n v="0"/>
    <m/>
    <n v="71"/>
    <n v="71"/>
    <m/>
    <m/>
    <n v="71"/>
    <m/>
    <x v="0"/>
    <n v="0"/>
    <n v="537"/>
    <m/>
    <m/>
    <n v="0"/>
    <n v="0"/>
    <n v="400"/>
    <m/>
    <m/>
    <m/>
    <m/>
    <m/>
    <m/>
    <m/>
    <e v="#REF!"/>
    <m/>
    <m/>
    <m/>
    <m/>
    <m/>
    <m/>
    <m/>
    <m/>
    <m/>
    <s v="Banco + desquinche-Vol 125"/>
    <m/>
  </r>
  <r>
    <s v="212 - banco 68"/>
    <x v="0"/>
    <n v="2024"/>
    <x v="6"/>
    <x v="134"/>
    <s v="Banco + desquinche"/>
    <n v="212"/>
    <n v="105"/>
    <n v="0"/>
    <m/>
    <n v="105"/>
    <n v="105"/>
    <m/>
    <m/>
    <n v="105"/>
    <m/>
    <x v="0"/>
    <n v="0"/>
    <n v="836"/>
    <m/>
    <m/>
    <n v="0"/>
    <n v="0"/>
    <n v="200"/>
    <m/>
    <m/>
    <m/>
    <m/>
    <m/>
    <m/>
    <m/>
    <e v="#REF!"/>
    <m/>
    <m/>
    <m/>
    <m/>
    <m/>
    <m/>
    <m/>
    <m/>
    <m/>
    <s v="Banco + desquinche-Vol 212"/>
    <m/>
  </r>
  <r>
    <n v="126"/>
    <x v="1"/>
    <n v="2024"/>
    <x v="6"/>
    <x v="134"/>
    <s v="Banco + desquinche"/>
    <n v="126"/>
    <n v="70"/>
    <n v="0"/>
    <m/>
    <n v="70"/>
    <n v="70"/>
    <m/>
    <m/>
    <n v="70"/>
    <m/>
    <x v="0"/>
    <n v="0"/>
    <n v="658"/>
    <m/>
    <m/>
    <n v="0"/>
    <n v="0"/>
    <n v="400"/>
    <m/>
    <m/>
    <m/>
    <m/>
    <m/>
    <m/>
    <m/>
    <e v="#REF!"/>
    <m/>
    <m/>
    <m/>
    <m/>
    <m/>
    <m/>
    <m/>
    <m/>
    <m/>
    <s v="Banco + desquinche-Vol 126"/>
    <m/>
  </r>
  <r>
    <s v="213 - banco 69"/>
    <x v="0"/>
    <n v="2024"/>
    <x v="6"/>
    <x v="134"/>
    <s v="Banco + desquinche"/>
    <n v="213"/>
    <n v="138"/>
    <n v="0"/>
    <m/>
    <n v="138"/>
    <n v="138"/>
    <m/>
    <m/>
    <n v="138"/>
    <m/>
    <x v="9"/>
    <n v="0"/>
    <n v="841"/>
    <m/>
    <m/>
    <n v="0"/>
    <n v="0"/>
    <n v="200"/>
    <m/>
    <m/>
    <m/>
    <m/>
    <m/>
    <m/>
    <m/>
    <e v="#REF!"/>
    <m/>
    <m/>
    <m/>
    <m/>
    <m/>
    <m/>
    <m/>
    <m/>
    <m/>
    <s v="Banco + desquinche-Vol 213"/>
    <m/>
  </r>
  <r>
    <n v="127"/>
    <x v="1"/>
    <n v="2024"/>
    <x v="6"/>
    <x v="134"/>
    <s v="Banco "/>
    <n v="127"/>
    <n v="83"/>
    <n v="0"/>
    <m/>
    <n v="83"/>
    <n v="83"/>
    <m/>
    <m/>
    <n v="83"/>
    <m/>
    <x v="9"/>
    <n v="0"/>
    <n v="623"/>
    <m/>
    <m/>
    <n v="0"/>
    <n v="0"/>
    <n v="400"/>
    <m/>
    <m/>
    <m/>
    <m/>
    <m/>
    <m/>
    <m/>
    <e v="#REF!"/>
    <m/>
    <m/>
    <m/>
    <m/>
    <m/>
    <m/>
    <m/>
    <m/>
    <m/>
    <s v="Banco -Vol 127"/>
    <m/>
  </r>
  <r>
    <n v="128"/>
    <x v="1"/>
    <n v="2024"/>
    <x v="6"/>
    <x v="135"/>
    <s v="BANCO"/>
    <n v="128"/>
    <n v="58"/>
    <n v="0"/>
    <m/>
    <n v="58"/>
    <n v="58"/>
    <m/>
    <m/>
    <n v="58"/>
    <m/>
    <x v="9"/>
    <n v="0"/>
    <n v="447"/>
    <m/>
    <m/>
    <m/>
    <m/>
    <n v="400"/>
    <m/>
    <m/>
    <m/>
    <m/>
    <m/>
    <m/>
    <m/>
    <e v="#REF!"/>
    <m/>
    <m/>
    <m/>
    <m/>
    <m/>
    <m/>
    <m/>
    <m/>
    <m/>
    <s v="Banco-Vol 128"/>
    <m/>
  </r>
  <r>
    <s v="214 - banco 70"/>
    <x v="0"/>
    <n v="2024"/>
    <x v="6"/>
    <x v="135"/>
    <s v="BANCO"/>
    <n v="214"/>
    <n v="102"/>
    <n v="0"/>
    <m/>
    <n v="102"/>
    <n v="102"/>
    <m/>
    <m/>
    <n v="102"/>
    <m/>
    <x v="9"/>
    <n v="0"/>
    <n v="774"/>
    <m/>
    <m/>
    <n v="0"/>
    <n v="0"/>
    <n v="200"/>
    <m/>
    <m/>
    <m/>
    <m/>
    <m/>
    <m/>
    <m/>
    <e v="#REF!"/>
    <m/>
    <m/>
    <m/>
    <m/>
    <m/>
    <m/>
    <m/>
    <m/>
    <m/>
    <s v="Banco-Vol 214"/>
    <m/>
  </r>
  <r>
    <n v="129"/>
    <x v="1"/>
    <n v="2024"/>
    <x v="6"/>
    <x v="135"/>
    <s v="BANCO"/>
    <n v="129"/>
    <n v="109"/>
    <n v="0"/>
    <m/>
    <n v="109"/>
    <n v="109"/>
    <m/>
    <m/>
    <n v="109"/>
    <m/>
    <x v="9"/>
    <n v="0"/>
    <n v="744"/>
    <m/>
    <m/>
    <m/>
    <m/>
    <n v="400"/>
    <m/>
    <m/>
    <m/>
    <m/>
    <m/>
    <m/>
    <m/>
    <e v="#REF!"/>
    <m/>
    <m/>
    <m/>
    <m/>
    <m/>
    <m/>
    <m/>
    <m/>
    <m/>
    <s v="Banco-Vol 129"/>
    <m/>
  </r>
  <r>
    <s v="215 - banco 71"/>
    <x v="0"/>
    <n v="2024"/>
    <x v="6"/>
    <x v="135"/>
    <s v="BANCO"/>
    <n v="215"/>
    <n v="19"/>
    <n v="0"/>
    <n v="19"/>
    <m/>
    <n v="19"/>
    <m/>
    <m/>
    <n v="19"/>
    <m/>
    <x v="9"/>
    <n v="19"/>
    <n v="31"/>
    <m/>
    <m/>
    <n v="0"/>
    <n v="0"/>
    <n v="200"/>
    <m/>
    <m/>
    <m/>
    <m/>
    <m/>
    <m/>
    <m/>
    <e v="#REF!"/>
    <m/>
    <m/>
    <m/>
    <m/>
    <m/>
    <m/>
    <m/>
    <m/>
    <m/>
    <s v="Banco-Vol 215"/>
    <m/>
  </r>
  <r>
    <n v="130"/>
    <x v="1"/>
    <n v="2024"/>
    <x v="6"/>
    <x v="136"/>
    <s v="Banco "/>
    <n v="130"/>
    <n v="84"/>
    <n v="84"/>
    <m/>
    <m/>
    <n v="84"/>
    <m/>
    <m/>
    <n v="84"/>
    <m/>
    <x v="9"/>
    <n v="0"/>
    <n v="743"/>
    <m/>
    <m/>
    <m/>
    <n v="400"/>
    <m/>
    <m/>
    <m/>
    <m/>
    <m/>
    <m/>
    <m/>
    <m/>
    <e v="#REF!"/>
    <m/>
    <m/>
    <m/>
    <m/>
    <m/>
    <m/>
    <m/>
    <m/>
    <m/>
    <s v="Banco -Vol 130"/>
    <m/>
  </r>
  <r>
    <s v="216 - banco 72"/>
    <x v="0"/>
    <n v="2024"/>
    <x v="6"/>
    <x v="136"/>
    <s v="Banco + desquinche"/>
    <n v="216"/>
    <n v="52"/>
    <n v="0"/>
    <n v="52"/>
    <m/>
    <n v="52"/>
    <m/>
    <m/>
    <n v="52"/>
    <m/>
    <x v="9"/>
    <n v="0"/>
    <n v="319"/>
    <m/>
    <m/>
    <m/>
    <n v="0"/>
    <n v="200"/>
    <m/>
    <m/>
    <m/>
    <m/>
    <m/>
    <m/>
    <m/>
    <e v="#REF!"/>
    <m/>
    <m/>
    <m/>
    <m/>
    <m/>
    <m/>
    <m/>
    <m/>
    <m/>
    <s v="Banco + desquinche-Vol 216"/>
    <m/>
  </r>
  <r>
    <n v="131"/>
    <x v="1"/>
    <n v="2024"/>
    <x v="6"/>
    <x v="136"/>
    <s v="Banco "/>
    <n v="131"/>
    <n v="91"/>
    <n v="91"/>
    <m/>
    <m/>
    <n v="91"/>
    <m/>
    <m/>
    <n v="91"/>
    <m/>
    <x v="9"/>
    <n v="0"/>
    <n v="685"/>
    <m/>
    <m/>
    <m/>
    <n v="400"/>
    <m/>
    <m/>
    <m/>
    <m/>
    <m/>
    <m/>
    <m/>
    <m/>
    <e v="#REF!"/>
    <m/>
    <m/>
    <m/>
    <m/>
    <m/>
    <m/>
    <m/>
    <m/>
    <m/>
    <s v="Banco -Vol 131"/>
    <m/>
  </r>
  <r>
    <s v="217 - banco 73"/>
    <x v="0"/>
    <n v="2024"/>
    <x v="6"/>
    <x v="136"/>
    <s v="BANCO"/>
    <n v="217"/>
    <n v="62"/>
    <n v="0"/>
    <m/>
    <n v="62"/>
    <n v="62"/>
    <m/>
    <m/>
    <n v="62"/>
    <m/>
    <x v="9"/>
    <n v="0"/>
    <n v="437"/>
    <m/>
    <m/>
    <m/>
    <n v="0"/>
    <n v="400"/>
    <m/>
    <m/>
    <m/>
    <m/>
    <m/>
    <m/>
    <m/>
    <e v="#REF!"/>
    <m/>
    <m/>
    <m/>
    <m/>
    <m/>
    <m/>
    <m/>
    <m/>
    <m/>
    <s v="Banco-Vol 217"/>
    <m/>
  </r>
  <r>
    <n v="132"/>
    <x v="1"/>
    <n v="2024"/>
    <x v="6"/>
    <x v="137"/>
    <s v="BANCO"/>
    <n v="132"/>
    <n v="29"/>
    <n v="29"/>
    <m/>
    <n v="0"/>
    <n v="0"/>
    <m/>
    <m/>
    <n v="29"/>
    <m/>
    <x v="9"/>
    <n v="0"/>
    <n v="248"/>
    <m/>
    <m/>
    <m/>
    <n v="400"/>
    <n v="0"/>
    <m/>
    <m/>
    <m/>
    <m/>
    <m/>
    <m/>
    <m/>
    <e v="#REF!"/>
    <m/>
    <m/>
    <m/>
    <m/>
    <m/>
    <m/>
    <m/>
    <m/>
    <m/>
    <s v="Banco-Vol 132"/>
    <m/>
  </r>
  <r>
    <s v="218 - banco 74"/>
    <x v="0"/>
    <n v="2024"/>
    <x v="6"/>
    <x v="137"/>
    <s v="BANCO"/>
    <n v="218"/>
    <n v="100"/>
    <n v="0"/>
    <m/>
    <n v="100"/>
    <n v="100"/>
    <m/>
    <m/>
    <n v="100"/>
    <m/>
    <x v="9"/>
    <n v="0"/>
    <n v="69.5"/>
    <m/>
    <m/>
    <m/>
    <n v="0"/>
    <n v="200"/>
    <m/>
    <m/>
    <m/>
    <m/>
    <m/>
    <m/>
    <m/>
    <e v="#REF!"/>
    <m/>
    <m/>
    <m/>
    <m/>
    <m/>
    <m/>
    <m/>
    <m/>
    <m/>
    <s v="Banco-Vol 218"/>
    <m/>
  </r>
  <r>
    <n v="133"/>
    <x v="1"/>
    <n v="2024"/>
    <x v="6"/>
    <x v="137"/>
    <s v="BANCO"/>
    <n v="133"/>
    <n v="72"/>
    <n v="72"/>
    <m/>
    <n v="0"/>
    <n v="0"/>
    <m/>
    <m/>
    <n v="72"/>
    <m/>
    <x v="9"/>
    <n v="0"/>
    <n v="507"/>
    <m/>
    <m/>
    <m/>
    <n v="200"/>
    <n v="0"/>
    <m/>
    <m/>
    <m/>
    <m/>
    <m/>
    <m/>
    <m/>
    <e v="#REF!"/>
    <m/>
    <m/>
    <m/>
    <m/>
    <m/>
    <m/>
    <m/>
    <m/>
    <m/>
    <s v="Banco-Vol 133"/>
    <m/>
  </r>
  <r>
    <s v="219 - banco 75"/>
    <x v="0"/>
    <n v="2024"/>
    <x v="6"/>
    <x v="137"/>
    <s v="BANCO"/>
    <n v="219"/>
    <n v="31"/>
    <n v="0"/>
    <m/>
    <n v="31"/>
    <n v="31"/>
    <m/>
    <m/>
    <n v="31"/>
    <m/>
    <x v="9"/>
    <n v="0"/>
    <n v="284"/>
    <m/>
    <m/>
    <m/>
    <n v="0"/>
    <n v="200"/>
    <m/>
    <m/>
    <m/>
    <m/>
    <m/>
    <m/>
    <m/>
    <e v="#REF!"/>
    <m/>
    <m/>
    <m/>
    <m/>
    <m/>
    <m/>
    <m/>
    <m/>
    <m/>
    <s v="Banco-Vol 219"/>
    <m/>
  </r>
  <r>
    <n v="134"/>
    <x v="1"/>
    <n v="2024"/>
    <x v="6"/>
    <x v="138"/>
    <s v="BANCO"/>
    <n v="134"/>
    <n v="100"/>
    <n v="100"/>
    <m/>
    <n v="0"/>
    <n v="100"/>
    <m/>
    <m/>
    <n v="100"/>
    <m/>
    <x v="9"/>
    <n v="0"/>
    <n v="555"/>
    <m/>
    <m/>
    <m/>
    <n v="200"/>
    <n v="0"/>
    <m/>
    <m/>
    <m/>
    <m/>
    <m/>
    <m/>
    <m/>
    <e v="#REF!"/>
    <m/>
    <m/>
    <m/>
    <m/>
    <m/>
    <m/>
    <m/>
    <m/>
    <m/>
    <s v="Banco-Vol 134"/>
    <m/>
  </r>
  <r>
    <n v="135"/>
    <x v="1"/>
    <n v="2024"/>
    <x v="6"/>
    <x v="138"/>
    <s v="BANCO"/>
    <n v="135"/>
    <n v="32"/>
    <n v="32"/>
    <m/>
    <m/>
    <n v="32"/>
    <m/>
    <m/>
    <n v="32"/>
    <m/>
    <x v="9"/>
    <n v="0"/>
    <n v="302"/>
    <m/>
    <m/>
    <m/>
    <n v="200"/>
    <n v="0"/>
    <m/>
    <m/>
    <m/>
    <m/>
    <m/>
    <m/>
    <m/>
    <e v="#REF!"/>
    <m/>
    <m/>
    <m/>
    <m/>
    <m/>
    <m/>
    <m/>
    <m/>
    <m/>
    <s v="Banco-Vol 135"/>
    <m/>
  </r>
  <r>
    <s v="220 - banco 76"/>
    <x v="0"/>
    <n v="2024"/>
    <x v="6"/>
    <x v="138"/>
    <s v="BANCO"/>
    <n v="220"/>
    <n v="20"/>
    <n v="0"/>
    <n v="20"/>
    <n v="0"/>
    <n v="20"/>
    <m/>
    <m/>
    <n v="20"/>
    <m/>
    <x v="9"/>
    <n v="0"/>
    <n v="99"/>
    <m/>
    <m/>
    <m/>
    <n v="0"/>
    <n v="0"/>
    <m/>
    <m/>
    <m/>
    <m/>
    <m/>
    <m/>
    <m/>
    <e v="#REF!"/>
    <m/>
    <m/>
    <m/>
    <m/>
    <m/>
    <m/>
    <m/>
    <m/>
    <m/>
    <s v="Banco-Vol 220"/>
    <m/>
  </r>
  <r>
    <n v="136"/>
    <x v="1"/>
    <n v="2024"/>
    <x v="6"/>
    <x v="139"/>
    <s v="BANCO"/>
    <n v="136"/>
    <n v="130"/>
    <n v="130"/>
    <m/>
    <m/>
    <n v="130"/>
    <m/>
    <m/>
    <n v="130"/>
    <m/>
    <x v="0"/>
    <m/>
    <n v="1175"/>
    <m/>
    <m/>
    <m/>
    <n v="200"/>
    <m/>
    <m/>
    <m/>
    <m/>
    <m/>
    <m/>
    <m/>
    <m/>
    <e v="#REF!"/>
    <m/>
    <m/>
    <m/>
    <m/>
    <m/>
    <m/>
    <m/>
    <m/>
    <m/>
    <s v="Banco-Vol 136"/>
    <m/>
  </r>
  <r>
    <s v="221 - banco 77"/>
    <x v="0"/>
    <n v="2024"/>
    <x v="6"/>
    <x v="139"/>
    <s v="BANCO"/>
    <n v="221"/>
    <n v="26"/>
    <n v="0"/>
    <n v="26"/>
    <n v="0"/>
    <n v="26"/>
    <m/>
    <m/>
    <n v="26"/>
    <m/>
    <x v="9"/>
    <n v="122"/>
    <n v="0"/>
    <m/>
    <m/>
    <n v="33"/>
    <n v="200"/>
    <n v="200"/>
    <m/>
    <m/>
    <m/>
    <m/>
    <m/>
    <m/>
    <m/>
    <e v="#REF!"/>
    <m/>
    <m/>
    <m/>
    <m/>
    <m/>
    <m/>
    <m/>
    <m/>
    <m/>
    <s v="Banco-Vol 221"/>
    <m/>
  </r>
  <r>
    <n v="137"/>
    <x v="1"/>
    <n v="2024"/>
    <x v="6"/>
    <x v="139"/>
    <s v="BANCO"/>
    <n v="137"/>
    <n v="93"/>
    <n v="93"/>
    <m/>
    <m/>
    <n v="93"/>
    <m/>
    <m/>
    <n v="93"/>
    <m/>
    <x v="0"/>
    <m/>
    <n v="713"/>
    <m/>
    <m/>
    <m/>
    <n v="200"/>
    <m/>
    <m/>
    <m/>
    <m/>
    <m/>
    <m/>
    <m/>
    <m/>
    <e v="#REF!"/>
    <m/>
    <m/>
    <m/>
    <m/>
    <m/>
    <m/>
    <m/>
    <m/>
    <m/>
    <s v="Banco-Vol 137"/>
    <m/>
  </r>
  <r>
    <s v="222- banco 78"/>
    <x v="0"/>
    <n v="2024"/>
    <x v="6"/>
    <x v="140"/>
    <s v="BANCO"/>
    <n v="222"/>
    <n v="11"/>
    <n v="0"/>
    <m/>
    <n v="11"/>
    <n v="11"/>
    <m/>
    <m/>
    <n v="11"/>
    <m/>
    <x v="0"/>
    <m/>
    <m/>
    <m/>
    <m/>
    <m/>
    <m/>
    <n v="200"/>
    <m/>
    <m/>
    <m/>
    <m/>
    <m/>
    <m/>
    <m/>
    <e v="#REF!"/>
    <m/>
    <m/>
    <m/>
    <m/>
    <m/>
    <m/>
    <m/>
    <m/>
    <m/>
    <s v="banco-Vol 222"/>
    <m/>
  </r>
  <r>
    <n v="138"/>
    <x v="1"/>
    <n v="2024"/>
    <x v="6"/>
    <x v="139"/>
    <s v="BANCO"/>
    <n v="138"/>
    <n v="126"/>
    <n v="126"/>
    <m/>
    <m/>
    <n v="126"/>
    <m/>
    <m/>
    <n v="126"/>
    <m/>
    <x v="0"/>
    <m/>
    <m/>
    <m/>
    <m/>
    <m/>
    <n v="200"/>
    <m/>
    <m/>
    <m/>
    <m/>
    <m/>
    <m/>
    <m/>
    <m/>
    <e v="#REF!"/>
    <m/>
    <m/>
    <m/>
    <m/>
    <m/>
    <m/>
    <m/>
    <m/>
    <m/>
    <s v="Banco-Vol 138"/>
    <m/>
  </r>
  <r>
    <s v="223- banco 79"/>
    <x v="0"/>
    <n v="2024"/>
    <x v="6"/>
    <x v="141"/>
    <s v="BANCO"/>
    <n v="223"/>
    <n v="9"/>
    <n v="0"/>
    <m/>
    <n v="9"/>
    <n v="9"/>
    <m/>
    <m/>
    <n v="9"/>
    <m/>
    <x v="0"/>
    <m/>
    <m/>
    <m/>
    <m/>
    <n v="96"/>
    <m/>
    <n v="200"/>
    <m/>
    <m/>
    <m/>
    <m/>
    <m/>
    <m/>
    <m/>
    <e v="#REF!"/>
    <m/>
    <m/>
    <m/>
    <m/>
    <m/>
    <m/>
    <m/>
    <m/>
    <m/>
    <s v="Banco-Vol 223"/>
    <m/>
  </r>
  <r>
    <n v="139"/>
    <x v="1"/>
    <n v="2024"/>
    <x v="6"/>
    <x v="141"/>
    <s v="BANCO"/>
    <n v="139"/>
    <n v="29"/>
    <n v="29"/>
    <m/>
    <m/>
    <n v="29"/>
    <m/>
    <m/>
    <n v="29"/>
    <m/>
    <x v="0"/>
    <m/>
    <n v="113"/>
    <m/>
    <m/>
    <m/>
    <n v="200"/>
    <m/>
    <m/>
    <m/>
    <m/>
    <m/>
    <m/>
    <m/>
    <m/>
    <e v="#REF!"/>
    <m/>
    <m/>
    <m/>
    <m/>
    <m/>
    <m/>
    <m/>
    <m/>
    <m/>
    <s v="Banco-Vol 139"/>
    <m/>
  </r>
  <r>
    <n v="140"/>
    <x v="1"/>
    <n v="2024"/>
    <x v="6"/>
    <x v="142"/>
    <s v="BANCO"/>
    <n v="140"/>
    <n v="65"/>
    <n v="65"/>
    <m/>
    <m/>
    <n v="65"/>
    <m/>
    <m/>
    <n v="65"/>
    <m/>
    <x v="0"/>
    <m/>
    <m/>
    <m/>
    <m/>
    <m/>
    <n v="200"/>
    <m/>
    <m/>
    <m/>
    <m/>
    <m/>
    <m/>
    <m/>
    <m/>
    <e v="#REF!"/>
    <m/>
    <m/>
    <m/>
    <m/>
    <m/>
    <m/>
    <m/>
    <m/>
    <m/>
    <s v="Banco-Vol 140"/>
    <m/>
  </r>
  <r>
    <s v="224-banco 80"/>
    <x v="0"/>
    <n v="2024"/>
    <x v="6"/>
    <x v="142"/>
    <s v="BANCO"/>
    <n v="224"/>
    <n v="16"/>
    <n v="0"/>
    <m/>
    <n v="16"/>
    <n v="16"/>
    <m/>
    <m/>
    <n v="16"/>
    <m/>
    <x v="0"/>
    <m/>
    <n v="111"/>
    <m/>
    <m/>
    <m/>
    <m/>
    <n v="200"/>
    <m/>
    <m/>
    <m/>
    <m/>
    <m/>
    <m/>
    <m/>
    <e v="#REF!"/>
    <m/>
    <m/>
    <m/>
    <m/>
    <m/>
    <m/>
    <m/>
    <m/>
    <m/>
    <s v="Banco-Vol 224"/>
    <m/>
  </r>
  <r>
    <s v="225-banco 81"/>
    <x v="0"/>
    <n v="2024"/>
    <x v="6"/>
    <x v="143"/>
    <s v="BANCO"/>
    <n v="225"/>
    <n v="13"/>
    <n v="0"/>
    <m/>
    <n v="13"/>
    <n v="13"/>
    <m/>
    <m/>
    <n v="13"/>
    <m/>
    <x v="0"/>
    <n v="146"/>
    <m/>
    <m/>
    <m/>
    <m/>
    <m/>
    <n v="200"/>
    <m/>
    <m/>
    <m/>
    <m/>
    <m/>
    <m/>
    <m/>
    <e v="#REF!"/>
    <m/>
    <m/>
    <m/>
    <m/>
    <m/>
    <m/>
    <m/>
    <m/>
    <m/>
    <s v="Banco-Vol 225"/>
    <m/>
  </r>
  <r>
    <s v="226-banco 82"/>
    <x v="0"/>
    <n v="2024"/>
    <x v="6"/>
    <x v="143"/>
    <s v="BANCO"/>
    <n v="226"/>
    <n v="74"/>
    <n v="0"/>
    <m/>
    <n v="74"/>
    <n v="74"/>
    <m/>
    <m/>
    <n v="74"/>
    <m/>
    <x v="0"/>
    <m/>
    <n v="363"/>
    <m/>
    <m/>
    <m/>
    <n v="200"/>
    <m/>
    <m/>
    <m/>
    <m/>
    <m/>
    <m/>
    <m/>
    <m/>
    <e v="#REF!"/>
    <m/>
    <m/>
    <m/>
    <m/>
    <m/>
    <m/>
    <m/>
    <m/>
    <m/>
    <s v="Banco-Vol 226"/>
    <m/>
  </r>
  <r>
    <n v="141"/>
    <x v="1"/>
    <n v="2024"/>
    <x v="6"/>
    <x v="144"/>
    <s v="BANCO"/>
    <n v="141"/>
    <n v="24"/>
    <n v="24"/>
    <m/>
    <m/>
    <n v="24"/>
    <m/>
    <m/>
    <n v="24"/>
    <m/>
    <x v="0"/>
    <m/>
    <m/>
    <m/>
    <m/>
    <m/>
    <n v="200"/>
    <m/>
    <m/>
    <m/>
    <m/>
    <m/>
    <m/>
    <m/>
    <m/>
    <e v="#REF!"/>
    <m/>
    <m/>
    <m/>
    <m/>
    <m/>
    <m/>
    <m/>
    <m/>
    <m/>
    <s v="Banco-Vol 141"/>
    <m/>
  </r>
  <r>
    <s v="227-banco 83"/>
    <x v="0"/>
    <n v="2024"/>
    <x v="6"/>
    <x v="145"/>
    <s v="BANCO"/>
    <n v="227"/>
    <n v="33"/>
    <n v="0"/>
    <m/>
    <n v="33"/>
    <n v="33"/>
    <m/>
    <m/>
    <n v="33"/>
    <m/>
    <x v="0"/>
    <n v="337"/>
    <m/>
    <m/>
    <m/>
    <m/>
    <n v="200"/>
    <m/>
    <m/>
    <m/>
    <m/>
    <m/>
    <m/>
    <m/>
    <m/>
    <e v="#REF!"/>
    <m/>
    <m/>
    <m/>
    <m/>
    <m/>
    <m/>
    <m/>
    <m/>
    <m/>
    <s v="Banco-Vol 227"/>
    <m/>
  </r>
  <r>
    <n v="142"/>
    <x v="1"/>
    <n v="2024"/>
    <x v="6"/>
    <x v="146"/>
    <s v="BANCO"/>
    <n v="142"/>
    <n v="17"/>
    <n v="17"/>
    <m/>
    <m/>
    <m/>
    <m/>
    <m/>
    <n v="0"/>
    <m/>
    <x v="0"/>
    <m/>
    <m/>
    <m/>
    <m/>
    <m/>
    <n v="200"/>
    <m/>
    <m/>
    <m/>
    <m/>
    <m/>
    <m/>
    <m/>
    <m/>
    <e v="#REF!"/>
    <m/>
    <m/>
    <m/>
    <m/>
    <m/>
    <m/>
    <m/>
    <m/>
    <m/>
    <s v="Banco-Vol 142"/>
    <m/>
  </r>
  <r>
    <s v="228-banco 84"/>
    <x v="0"/>
    <n v="2024"/>
    <x v="6"/>
    <x v="147"/>
    <s v="BANCO"/>
    <n v="228"/>
    <n v="23"/>
    <m/>
    <m/>
    <n v="23"/>
    <m/>
    <m/>
    <m/>
    <n v="23"/>
    <m/>
    <x v="0"/>
    <m/>
    <m/>
    <m/>
    <m/>
    <m/>
    <n v="200"/>
    <m/>
    <m/>
    <m/>
    <m/>
    <m/>
    <m/>
    <m/>
    <m/>
    <e v="#REF!"/>
    <m/>
    <m/>
    <m/>
    <m/>
    <m/>
    <m/>
    <m/>
    <m/>
    <m/>
    <s v="Banco-Vol 228"/>
    <m/>
  </r>
  <r>
    <n v="143"/>
    <x v="1"/>
    <n v="2024"/>
    <x v="6"/>
    <x v="148"/>
    <s v="BANCO"/>
    <n v="143"/>
    <n v="23"/>
    <n v="23"/>
    <m/>
    <m/>
    <n v="23"/>
    <m/>
    <m/>
    <n v="23"/>
    <m/>
    <x v="0"/>
    <m/>
    <n v="54"/>
    <m/>
    <m/>
    <m/>
    <n v="200"/>
    <m/>
    <m/>
    <m/>
    <m/>
    <m/>
    <m/>
    <m/>
    <m/>
    <e v="#REF!"/>
    <m/>
    <m/>
    <m/>
    <m/>
    <m/>
    <m/>
    <m/>
    <m/>
    <m/>
    <s v="Banco-Vol 143"/>
    <m/>
  </r>
  <r>
    <n v="144"/>
    <x v="1"/>
    <n v="2024"/>
    <x v="6"/>
    <x v="149"/>
    <s v="BANCO"/>
    <n v="144"/>
    <n v="25"/>
    <n v="25"/>
    <m/>
    <m/>
    <n v="25"/>
    <m/>
    <m/>
    <n v="25"/>
    <m/>
    <x v="0"/>
    <m/>
    <m/>
    <m/>
    <m/>
    <m/>
    <n v="200"/>
    <m/>
    <m/>
    <m/>
    <m/>
    <m/>
    <m/>
    <m/>
    <m/>
    <e v="#REF!"/>
    <m/>
    <m/>
    <m/>
    <m/>
    <m/>
    <m/>
    <m/>
    <m/>
    <m/>
    <s v="Banco-Vol 144"/>
    <m/>
  </r>
  <r>
    <n v="145"/>
    <x v="1"/>
    <n v="2024"/>
    <x v="6"/>
    <x v="149"/>
    <s v="BANCO"/>
    <n v="145"/>
    <n v="21"/>
    <n v="21"/>
    <m/>
    <m/>
    <n v="21"/>
    <m/>
    <m/>
    <n v="21"/>
    <m/>
    <x v="0"/>
    <m/>
    <m/>
    <m/>
    <m/>
    <m/>
    <n v="200"/>
    <m/>
    <m/>
    <m/>
    <m/>
    <m/>
    <m/>
    <m/>
    <m/>
    <e v="#REF!"/>
    <m/>
    <m/>
    <m/>
    <m/>
    <m/>
    <m/>
    <m/>
    <m/>
    <m/>
    <s v="Banco-Vol 145"/>
    <m/>
  </r>
  <r>
    <n v="146"/>
    <x v="1"/>
    <n v="2024"/>
    <x v="6"/>
    <x v="150"/>
    <s v="BANCO"/>
    <n v="146"/>
    <n v="65"/>
    <n v="65"/>
    <m/>
    <m/>
    <n v="65"/>
    <m/>
    <m/>
    <n v="65"/>
    <m/>
    <x v="0"/>
    <m/>
    <m/>
    <m/>
    <m/>
    <m/>
    <n v="200"/>
    <m/>
    <m/>
    <m/>
    <m/>
    <m/>
    <m/>
    <m/>
    <m/>
    <e v="#REF!"/>
    <m/>
    <m/>
    <m/>
    <m/>
    <m/>
    <m/>
    <m/>
    <m/>
    <m/>
    <s v="Banco-Vol 1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CADA38-F1FD-4500-8DC3-F3AEDFA7AB6E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:J4" firstHeaderRow="0" firstDataRow="1" firstDataCol="1"/>
  <pivotFields count="43"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>
      <items count="147">
        <item x="9"/>
        <item x="78"/>
        <item x="73"/>
        <item x="95"/>
        <item x="80"/>
        <item x="53"/>
        <item x="49"/>
        <item x="93"/>
        <item x="91"/>
        <item x="2"/>
        <item x="1"/>
        <item x="69"/>
        <item x="55"/>
        <item x="67"/>
        <item x="47"/>
        <item x="94"/>
        <item x="76"/>
        <item x="106"/>
        <item x="57"/>
        <item x="48"/>
        <item x="34"/>
        <item x="56"/>
        <item x="62"/>
        <item x="75"/>
        <item x="31"/>
        <item x="54"/>
        <item x="81"/>
        <item x="90"/>
        <item x="52"/>
        <item x="88"/>
        <item x="89"/>
        <item x="37"/>
        <item x="114"/>
        <item x="10"/>
        <item x="60"/>
        <item x="36"/>
        <item x="59"/>
        <item x="87"/>
        <item x="85"/>
        <item x="111"/>
        <item x="39"/>
        <item x="83"/>
        <item x="35"/>
        <item x="25"/>
        <item x="17"/>
        <item x="86"/>
        <item x="32"/>
        <item x="46"/>
        <item x="134"/>
        <item x="63"/>
        <item x="105"/>
        <item x="42"/>
        <item x="50"/>
        <item x="125"/>
        <item x="122"/>
        <item x="74"/>
        <item x="103"/>
        <item x="38"/>
        <item x="70"/>
        <item x="92"/>
        <item x="33"/>
        <item x="100"/>
        <item x="20"/>
        <item x="71"/>
        <item x="3"/>
        <item x="65"/>
        <item x="4"/>
        <item x="72"/>
        <item x="40"/>
        <item x="109"/>
        <item x="41"/>
        <item x="123"/>
        <item x="61"/>
        <item x="64"/>
        <item x="44"/>
        <item x="23"/>
        <item x="5"/>
        <item x="18"/>
        <item x="6"/>
        <item x="101"/>
        <item x="66"/>
        <item x="43"/>
        <item x="97"/>
        <item x="13"/>
        <item x="45"/>
        <item x="11"/>
        <item x="113"/>
        <item x="15"/>
        <item x="29"/>
        <item x="22"/>
        <item x="16"/>
        <item x="135"/>
        <item x="124"/>
        <item x="26"/>
        <item x="21"/>
        <item x="79"/>
        <item x="96"/>
        <item x="127"/>
        <item x="51"/>
        <item x="108"/>
        <item x="28"/>
        <item x="27"/>
        <item x="14"/>
        <item x="24"/>
        <item x="99"/>
        <item x="30"/>
        <item x="98"/>
        <item x="130"/>
        <item x="7"/>
        <item x="8"/>
        <item x="116"/>
        <item x="128"/>
        <item x="77"/>
        <item x="82"/>
        <item x="131"/>
        <item x="12"/>
        <item x="126"/>
        <item x="132"/>
        <item x="129"/>
        <item x="136"/>
        <item x="145"/>
        <item x="144"/>
        <item x="58"/>
        <item x="19"/>
        <item x="133"/>
        <item x="137"/>
        <item x="139"/>
        <item x="68"/>
        <item x="143"/>
        <item x="142"/>
        <item x="140"/>
        <item x="138"/>
        <item x="119"/>
        <item x="141"/>
        <item x="120"/>
        <item x="117"/>
        <item x="121"/>
        <item x="84"/>
        <item x="115"/>
        <item x="102"/>
        <item x="107"/>
        <item x="104"/>
        <item x="112"/>
        <item x="118"/>
        <item x="110"/>
        <item x="0"/>
        <item t="default"/>
      </items>
    </pivotField>
    <pivotField dataField="1" showAll="0"/>
    <pivotField dataField="1"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a de EMULSIÓN 1000 1&quot; x  8” (PZA)2" fld="17" baseField="0" baseItem="0"/>
    <dataField name="Suma de EMULSIÓN 1000 1 ¼x 12” (PZA)" fld="16" baseField="1" baseItem="0"/>
    <dataField name="Suma de EMULSIÓN 3000 1 ¼ 12” (PZA)" fld="18" baseField="1" baseItem="0"/>
    <dataField name="Suma de Detonador Consumido (Digishot) " fld="10" baseField="0" baseItem="0"/>
    <dataField name="Suma de Detonador Consumido (Intellishot) " fld="9" baseField="0" baseItem="0"/>
    <dataField name="Suma de Detonador consumido (Fametronic)" fld="8" baseField="0" baseItem="0"/>
    <dataField name="Suma de Cable Jumper (m)2x22 - Intellishot" fld="23" baseField="0" baseItem="0"/>
    <dataField name="Suma de Cable Jumper (m)2x20 - Fametronic" fld="22" baseField="0" baseItem="0"/>
    <dataField name="Suma de Cordon Detonante 5P  (mts)" fld="21" baseField="0" baseItem="0"/>
  </dataFields>
  <formats count="8"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3">
      <pivotArea field="1" type="button" dataOnly="0" labelOnly="1" outline="0" axis="axisRow" fieldPosition="0"/>
    </format>
    <format dxfId="2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A000000}" name="TablaDinámica5" cacheId="0" applyNumberFormats="0" applyBorderFormats="0" applyFontFormats="0" applyPatternFormats="0" applyAlignmentFormats="0" applyWidthHeightFormats="1" dataCaption="Valores" updatedVersion="8" useAutoFormatting="1" itemPrintTitles="1" createdVersion="7" indent="0" outline="1" outlineData="1" multipleFieldFilters="0">
  <location ref="A101:C102" firstHeaderRow="0" firstDataRow="1" firstDataCol="0" rowPageCount="1" colPageCount="1"/>
  <pivotFields count="43">
    <pivotField showAll="0"/>
    <pivotField showAll="0"/>
    <pivotField showAll="0"/>
    <pivotField axis="axisPage" showAll="0">
      <items count="13">
        <item m="1" x="10"/>
        <item m="1" x="11"/>
        <item x="0"/>
        <item x="1"/>
        <item x="2"/>
        <item x="3"/>
        <item m="1" x="8"/>
        <item x="4"/>
        <item x="5"/>
        <item m="1" x="9"/>
        <item x="6"/>
        <item x="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1">
    <pageField fld="3" item="2" hier="-1"/>
  </pageFields>
  <dataFields count="3">
    <dataField name="Suma de Taladros Simples" fld="11" baseField="0" baseItem="0"/>
    <dataField name="Suma de Taladros Dobles" fld="12" baseField="0" baseItem="0"/>
    <dataField name="Suma de Taladros Triples" fld="13" baseField="0" baseItem="0"/>
  </dataFields>
  <formats count="3">
    <format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9000000}" name="TablaDinámica2" cacheId="0" applyNumberFormats="0" applyBorderFormats="0" applyFontFormats="0" applyPatternFormats="0" applyAlignmentFormats="0" applyWidthHeightFormats="1" dataCaption="Valores" updatedVersion="8" useAutoFormatting="1" itemPrintTitles="1" createdVersion="7" indent="0" outline="1" outlineData="1" multipleFieldFilters="0">
  <location ref="A22:A32" firstHeaderRow="1" firstDataRow="1" firstDataCol="1" rowPageCount="1" colPageCount="1"/>
  <pivotFields count="43">
    <pivotField showAll="0"/>
    <pivotField showAll="0"/>
    <pivotField showAll="0"/>
    <pivotField axis="axisPage" showAll="0">
      <items count="13">
        <item m="1" x="10"/>
        <item m="1" x="11"/>
        <item x="0"/>
        <item x="1"/>
        <item x="2"/>
        <item x="3"/>
        <item m="1" x="8"/>
        <item x="4"/>
        <item x="5"/>
        <item m="1" x="9"/>
        <item x="6"/>
        <item x="7"/>
        <item t="default"/>
      </items>
    </pivotField>
    <pivotField axis="axisRow" numFmtId="14" showAll="0">
      <items count="155">
        <item x="0"/>
        <item x="1"/>
        <item x="2"/>
        <item m="1" x="15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8"/>
        <item x="29"/>
        <item x="30"/>
        <item x="32"/>
        <item x="33"/>
        <item x="34"/>
        <item m="1" x="152"/>
        <item x="35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m="1" x="153"/>
        <item x="3"/>
        <item x="23"/>
        <item x="24"/>
        <item x="25"/>
        <item x="26"/>
        <item x="27"/>
        <item x="36"/>
        <item x="38"/>
        <item x="50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1"/>
        <item x="1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122"/>
    </i>
    <i t="grand">
      <x/>
    </i>
  </rowItems>
  <colItems count="1">
    <i/>
  </colItems>
  <pageFields count="1">
    <pageField fld="3" item="2" hier="-1"/>
  </pageFields>
  <formats count="3">
    <format>
      <pivotArea dataOnly="0" labelOnly="1" outline="0" axis="axisValues" fieldPosition="0"/>
    </format>
    <format>
      <pivotArea dataOnly="0" labelOnly="1" outline="0" axis="axisValues" fieldPosition="0"/>
    </format>
    <format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Dinámica4" cacheId="0" applyNumberFormats="0" applyBorderFormats="0" applyFontFormats="0" applyPatternFormats="0" applyAlignmentFormats="0" applyWidthHeightFormats="1" dataCaption="Valores" updatedVersion="8" useAutoFormatting="1" itemPrintTitles="1" createdVersion="7" indent="0" outline="1" outlineData="1" multipleFieldFilters="0">
  <location ref="A80" firstHeaderRow="0" firstDataRow="0" firstDataCol="0" rowPageCount="1" colPageCount="1"/>
  <pivotFields count="43">
    <pivotField showAll="0"/>
    <pivotField showAll="0"/>
    <pivotField showAll="0"/>
    <pivotField axis="axisPage" showAll="0">
      <items count="13">
        <item m="1" x="10"/>
        <item m="1" x="11"/>
        <item x="0"/>
        <item x="1"/>
        <item x="2"/>
        <item x="3"/>
        <item m="1" x="8"/>
        <item x="4"/>
        <item x="5"/>
        <item m="1" x="9"/>
        <item x="6"/>
        <item x="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Dinámica11" cacheId="0" applyNumberFormats="0" applyBorderFormats="0" applyFontFormats="0" applyPatternFormats="0" applyAlignmentFormats="0" applyWidthHeightFormats="1" dataCaption="Valores" updatedVersion="8" useAutoFormatting="1" itemPrintTitles="1" createdVersion="7" indent="0" outline="1" outlineData="1" multipleFieldFilters="0">
  <location ref="A274:C284" firstHeaderRow="0" firstDataRow="1" firstDataCol="1" rowPageCount="1" colPageCount="1"/>
  <pivotFields count="43">
    <pivotField showAll="0"/>
    <pivotField showAll="0"/>
    <pivotField showAll="0"/>
    <pivotField axis="axisPage" showAll="0">
      <items count="13">
        <item m="1" x="10"/>
        <item m="1" x="11"/>
        <item x="0"/>
        <item x="1"/>
        <item x="2"/>
        <item x="3"/>
        <item m="1" x="8"/>
        <item x="4"/>
        <item x="5"/>
        <item m="1" x="9"/>
        <item x="6"/>
        <item x="7"/>
        <item t="default"/>
      </items>
    </pivotField>
    <pivotField axis="axisRow" numFmtId="14" showAll="0">
      <items count="155">
        <item x="0"/>
        <item x="1"/>
        <item x="2"/>
        <item m="1" x="15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8"/>
        <item x="29"/>
        <item x="30"/>
        <item x="32"/>
        <item x="33"/>
        <item x="34"/>
        <item m="1" x="152"/>
        <item x="35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m="1" x="153"/>
        <item x="3"/>
        <item x="23"/>
        <item x="24"/>
        <item x="25"/>
        <item x="26"/>
        <item x="27"/>
        <item x="36"/>
        <item x="38"/>
        <item x="50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1"/>
        <item x="1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showAll="0"/>
    <pivotField dataField="1" numFmtId="2"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122"/>
    </i>
    <i t="grand">
      <x/>
    </i>
  </rowItems>
  <colFields count="1">
    <field x="-2"/>
  </colFields>
  <colItems count="2">
    <i>
      <x/>
    </i>
    <i i="1">
      <x v="1"/>
    </i>
  </colItems>
  <pageFields count="1">
    <pageField fld="3" item="2" hier="-1"/>
  </pageFields>
  <dataFields count="2">
    <dataField name="Suma de PEM-V04 RE (mm/s)" fld="37" baseField="37" baseItem="1"/>
    <dataField name="Suma de PEM-V04 ES (mm/s)" fld="35" baseField="0" baseItem="0"/>
  </dataFields>
  <formats count="3">
    <format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8000000}" name="TablaDinámica8" cacheId="0" applyNumberFormats="0" applyBorderFormats="0" applyFontFormats="0" applyPatternFormats="0" applyAlignmentFormats="0" applyWidthHeightFormats="1" dataCaption="Valores" updatedVersion="8" useAutoFormatting="1" itemPrintTitles="1" createdVersion="7" indent="0" outline="1" outlineData="1" multipleFieldFilters="0">
  <location ref="A181:B191" firstHeaderRow="1" firstDataRow="1" firstDataCol="1" rowPageCount="1" colPageCount="1"/>
  <pivotFields count="43">
    <pivotField showAll="0"/>
    <pivotField showAll="0"/>
    <pivotField showAll="0"/>
    <pivotField axis="axisPage" showAll="0">
      <items count="13">
        <item m="1" x="10"/>
        <item m="1" x="11"/>
        <item x="0"/>
        <item x="1"/>
        <item x="2"/>
        <item x="3"/>
        <item m="1" x="8"/>
        <item x="4"/>
        <item x="5"/>
        <item m="1" x="9"/>
        <item x="6"/>
        <item x="7"/>
        <item t="default"/>
      </items>
    </pivotField>
    <pivotField axis="axisRow" numFmtId="14" showAll="0">
      <items count="155">
        <item x="0"/>
        <item x="1"/>
        <item x="2"/>
        <item m="1" x="15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8"/>
        <item x="29"/>
        <item x="30"/>
        <item x="32"/>
        <item x="33"/>
        <item x="34"/>
        <item m="1" x="152"/>
        <item x="35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m="1" x="153"/>
        <item x="3"/>
        <item x="23"/>
        <item x="24"/>
        <item x="25"/>
        <item x="26"/>
        <item x="27"/>
        <item x="36"/>
        <item x="38"/>
        <item x="50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1"/>
        <item x="1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122"/>
    </i>
    <i t="grand">
      <x/>
    </i>
  </rowItems>
  <colItems count="1">
    <i/>
  </colItems>
  <pageFields count="1">
    <pageField fld="3" item="2" hier="-1"/>
  </pageFields>
  <dataFields count="1">
    <dataField name="Suma de Current (mA)" fld="30" baseField="0" baseItem="0"/>
  </dataFields>
  <formats count="3">
    <format>
      <pivotArea dataOnly="0" labelOnly="1" outline="0" fieldPosition="0">
        <references count="1">
          <reference field="4294967294" count="1">
            <x v="0"/>
          </reference>
        </references>
      </pivotArea>
    </format>
    <format>
      <pivotArea dataOnly="0" labelOnly="1" outline="0" fieldPosition="0">
        <references count="1">
          <reference field="4294967294" count="1">
            <x v="0"/>
          </reference>
        </references>
      </pivotArea>
    </format>
    <format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6000000}" name="TablaDinámica6" cacheId="0" applyNumberFormats="0" applyBorderFormats="0" applyFontFormats="0" applyPatternFormats="0" applyAlignmentFormats="0" applyWidthHeightFormats="1" dataCaption="Valores" updatedVersion="8" useAutoFormatting="1" itemPrintTitles="1" createdVersion="7" indent="0" outline="1" outlineData="1" multipleFieldFilters="0">
  <location ref="A124:D134" firstHeaderRow="0" firstDataRow="1" firstDataCol="1" rowPageCount="1" colPageCount="1"/>
  <pivotFields count="43">
    <pivotField showAll="0"/>
    <pivotField showAll="0"/>
    <pivotField showAll="0"/>
    <pivotField axis="axisPage" showAll="0">
      <items count="13">
        <item m="1" x="10"/>
        <item m="1" x="11"/>
        <item x="0"/>
        <item x="1"/>
        <item x="2"/>
        <item x="3"/>
        <item m="1" x="8"/>
        <item x="4"/>
        <item x="5"/>
        <item m="1" x="9"/>
        <item x="6"/>
        <item x="7"/>
        <item t="default"/>
      </items>
    </pivotField>
    <pivotField axis="axisRow" numFmtId="14" showAll="0">
      <items count="155">
        <item x="0"/>
        <item x="1"/>
        <item x="2"/>
        <item m="1" x="15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8"/>
        <item x="29"/>
        <item x="30"/>
        <item x="32"/>
        <item x="33"/>
        <item x="34"/>
        <item m="1" x="152"/>
        <item x="35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m="1" x="153"/>
        <item x="3"/>
        <item x="23"/>
        <item x="24"/>
        <item x="25"/>
        <item x="26"/>
        <item x="27"/>
        <item x="36"/>
        <item x="38"/>
        <item x="50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1"/>
        <item x="1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12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item="2" hier="-1"/>
  </pageFields>
  <dataFields count="3">
    <dataField name="Suma de Fuga" fld="24" baseField="0" baseItem="0"/>
    <dataField name="Suma de Corte" fld="25" baseField="0" baseItem="0"/>
    <dataField name="Suma de Otr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Dinámica12" cacheId="0" applyNumberFormats="0" applyBorderFormats="0" applyFontFormats="0" applyPatternFormats="0" applyAlignmentFormats="0" applyWidthHeightFormats="1" dataCaption="Valores" updatedVersion="8" useAutoFormatting="1" itemPrintTitles="1" createdVersion="7" indent="0" outline="1" outlineData="1" multipleFieldFilters="0">
  <location ref="A308:A318" firstHeaderRow="1" firstDataRow="1" firstDataCol="1" rowPageCount="1" colPageCount="1"/>
  <pivotFields count="43">
    <pivotField showAll="0"/>
    <pivotField showAll="0"/>
    <pivotField showAll="0"/>
    <pivotField axis="axisPage" showAll="0">
      <items count="13">
        <item m="1" x="10"/>
        <item m="1" x="11"/>
        <item x="0"/>
        <item x="1"/>
        <item x="2"/>
        <item x="3"/>
        <item m="1" x="8"/>
        <item x="4"/>
        <item x="5"/>
        <item m="1" x="9"/>
        <item x="6"/>
        <item x="7"/>
        <item t="default"/>
      </items>
    </pivotField>
    <pivotField axis="axisRow" numFmtId="14" showAll="0">
      <items count="155">
        <item x="0"/>
        <item x="1"/>
        <item x="2"/>
        <item m="1" x="15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8"/>
        <item x="29"/>
        <item x="30"/>
        <item x="32"/>
        <item x="33"/>
        <item x="34"/>
        <item m="1" x="152"/>
        <item x="35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m="1" x="153"/>
        <item x="3"/>
        <item x="23"/>
        <item x="24"/>
        <item x="25"/>
        <item x="26"/>
        <item x="27"/>
        <item x="36"/>
        <item x="38"/>
        <item x="50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1"/>
        <item x="1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122"/>
    </i>
    <i t="grand">
      <x/>
    </i>
  </rowItems>
  <colItems count="1">
    <i/>
  </colItems>
  <pageFields count="1">
    <pageField fld="3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B000000}" name="TablaDinámica1" cacheId="0" applyNumberFormats="0" applyBorderFormats="0" applyFontFormats="0" applyPatternFormats="0" applyAlignmentFormats="0" applyWidthHeightFormats="1" dataCaption="Valores" updatedVersion="8" useAutoFormatting="1" itemPrintTitles="1" createdVersion="7" indent="0" outline="1" outlineData="1" multipleFieldFilters="0" rowHeaderCaption="MESES">
  <location ref="A3:A4" firstHeaderRow="1" firstDataRow="1" firstDataCol="1"/>
  <pivotFields count="43">
    <pivotField showAll="0"/>
    <pivotField showAll="0"/>
    <pivotField showAll="0"/>
    <pivotField axis="axisRow" showAll="0">
      <items count="13">
        <item m="1" x="10"/>
        <item h="1" m="1" x="11"/>
        <item h="1" x="0"/>
        <item h="1" x="1"/>
        <item h="1" x="2"/>
        <item h="1" x="3"/>
        <item h="1" m="1" x="8"/>
        <item h="1" x="4"/>
        <item h="1" x="5"/>
        <item h="1" m="1" x="9"/>
        <item h="1" x="6"/>
        <item h="1" x="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 t="grand">
      <x/>
    </i>
  </rowItems>
  <colItems count="1">
    <i/>
  </colItems>
  <formats count="2">
    <format>
      <pivotArea field="3" type="button" dataOnly="0" labelOnly="1" outline="0" axis="axisRow" fieldPosition="0"/>
    </format>
    <format>
      <pivotArea field="3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Dinámica10" cacheId="0" applyNumberFormats="0" applyBorderFormats="0" applyFontFormats="0" applyPatternFormats="0" applyAlignmentFormats="0" applyWidthHeightFormats="1" dataCaption="Valores" updatedVersion="8" useAutoFormatting="1" itemPrintTitles="1" createdVersion="7" indent="0" outline="1" outlineData="1" multipleFieldFilters="0">
  <location ref="A241:C251" firstHeaderRow="0" firstDataRow="1" firstDataCol="1" rowPageCount="1" colPageCount="1"/>
  <pivotFields count="43">
    <pivotField showAll="0"/>
    <pivotField showAll="0"/>
    <pivotField showAll="0"/>
    <pivotField axis="axisPage" showAll="0">
      <items count="13">
        <item m="1" x="10"/>
        <item m="1" x="11"/>
        <item x="0"/>
        <item x="1"/>
        <item x="2"/>
        <item x="3"/>
        <item m="1" x="8"/>
        <item x="4"/>
        <item x="5"/>
        <item m="1" x="9"/>
        <item x="6"/>
        <item x="7"/>
        <item t="default"/>
      </items>
    </pivotField>
    <pivotField axis="axisRow" numFmtId="14" showAll="0">
      <items count="155">
        <item x="0"/>
        <item x="1"/>
        <item x="2"/>
        <item m="1" x="15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8"/>
        <item x="29"/>
        <item x="30"/>
        <item x="32"/>
        <item x="33"/>
        <item x="34"/>
        <item m="1" x="152"/>
        <item x="35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m="1" x="153"/>
        <item x="3"/>
        <item x="23"/>
        <item x="24"/>
        <item x="25"/>
        <item x="26"/>
        <item x="27"/>
        <item x="36"/>
        <item x="38"/>
        <item x="50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1"/>
        <item x="1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numFmtId="2" showAll="0"/>
    <pivotField dataField="1" showAll="0"/>
    <pivotField numFmtId="2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122"/>
    </i>
    <i t="grand">
      <x/>
    </i>
  </rowItems>
  <colFields count="1">
    <field x="-2"/>
  </colFields>
  <colItems count="2">
    <i>
      <x/>
    </i>
    <i i="1">
      <x v="1"/>
    </i>
  </colItems>
  <pageFields count="1">
    <pageField fld="3" item="2" hier="-1"/>
  </pageFields>
  <dataFields count="2">
    <dataField name="Suma de PEM-V01 RE (mm/s)" fld="34" baseField="3" baseItem="6"/>
    <dataField name="Suma de PEM-V01 ES (mm/s)" fld="32" baseField="0" baseItem="0"/>
  </dataFields>
  <formats count="3">
    <format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Dinámica9" cacheId="0" applyNumberFormats="0" applyBorderFormats="0" applyFontFormats="0" applyPatternFormats="0" applyAlignmentFormats="0" applyWidthHeightFormats="1" dataCaption="Valores" updatedVersion="8" useAutoFormatting="1" itemPrintTitles="1" createdVersion="7" indent="0" outline="1" outlineData="1" multipleFieldFilters="0">
  <location ref="A209:B219" firstHeaderRow="1" firstDataRow="1" firstDataCol="1" rowPageCount="1" colPageCount="1"/>
  <pivotFields count="43">
    <pivotField showAll="0"/>
    <pivotField showAll="0"/>
    <pivotField showAll="0"/>
    <pivotField axis="axisPage" showAll="0">
      <items count="13">
        <item m="1" x="10"/>
        <item m="1" x="11"/>
        <item x="0"/>
        <item x="1"/>
        <item x="2"/>
        <item x="3"/>
        <item m="1" x="8"/>
        <item x="4"/>
        <item x="5"/>
        <item m="1" x="9"/>
        <item x="6"/>
        <item x="7"/>
        <item t="default"/>
      </items>
    </pivotField>
    <pivotField axis="axisRow" numFmtId="14" showAll="0">
      <items count="155">
        <item x="0"/>
        <item x="1"/>
        <item x="2"/>
        <item m="1" x="15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8"/>
        <item x="29"/>
        <item x="30"/>
        <item x="32"/>
        <item x="33"/>
        <item x="34"/>
        <item m="1" x="152"/>
        <item x="35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m="1" x="153"/>
        <item x="3"/>
        <item x="23"/>
        <item x="24"/>
        <item x="25"/>
        <item x="26"/>
        <item x="27"/>
        <item x="36"/>
        <item x="38"/>
        <item x="50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1"/>
        <item x="1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122"/>
    </i>
    <i t="grand">
      <x/>
    </i>
  </rowItems>
  <colItems count="1">
    <i/>
  </colItems>
  <pageFields count="1">
    <pageField fld="3" item="2" hier="-1"/>
  </pageFields>
  <dataFields count="1">
    <dataField name="Suma de Volumen de Material (m3)" fld="31" baseField="0" baseItem="0"/>
  </dataFields>
  <formats count="3">
    <format>
      <pivotArea dataOnly="0" labelOnly="1" outline="0" fieldPosition="0">
        <references count="1">
          <reference field="4294967294" count="1">
            <x v="0"/>
          </reference>
        </references>
      </pivotArea>
    </format>
    <format>
      <pivotArea dataOnly="0" labelOnly="1" outline="0" fieldPosition="0">
        <references count="1">
          <reference field="4294967294" count="1">
            <x v="0"/>
          </reference>
        </references>
      </pivotArea>
    </format>
    <format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7000000}" name="TablaDinámica3" cacheId="0" applyNumberFormats="0" applyBorderFormats="0" applyFontFormats="0" applyPatternFormats="0" applyAlignmentFormats="0" applyWidthHeightFormats="1" dataCaption="Valores" updatedVersion="8" useAutoFormatting="1" itemPrintTitles="1" createdVersion="7" indent="0" outline="1" outlineData="1" multipleFieldFilters="0">
  <location ref="A51:A61" firstHeaderRow="1" firstDataRow="1" firstDataCol="1" rowPageCount="1" colPageCount="1"/>
  <pivotFields count="43">
    <pivotField showAll="0"/>
    <pivotField showAll="0"/>
    <pivotField showAll="0"/>
    <pivotField axis="axisPage" showAll="0">
      <items count="13">
        <item m="1" x="10"/>
        <item m="1" x="11"/>
        <item x="0"/>
        <item x="1"/>
        <item x="2"/>
        <item x="3"/>
        <item m="1" x="8"/>
        <item x="4"/>
        <item x="5"/>
        <item m="1" x="9"/>
        <item x="6"/>
        <item x="7"/>
        <item t="default"/>
      </items>
    </pivotField>
    <pivotField axis="axisRow" numFmtId="14" showAll="0">
      <items count="155">
        <item x="0"/>
        <item x="1"/>
        <item x="2"/>
        <item m="1" x="15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8"/>
        <item x="29"/>
        <item x="30"/>
        <item x="32"/>
        <item x="33"/>
        <item x="34"/>
        <item m="1" x="152"/>
        <item x="35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m="1" x="153"/>
        <item x="3"/>
        <item x="23"/>
        <item x="24"/>
        <item x="25"/>
        <item x="26"/>
        <item x="27"/>
        <item x="36"/>
        <item x="38"/>
        <item x="50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1"/>
        <item x="1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122"/>
    </i>
    <i t="grand">
      <x/>
    </i>
  </rowItems>
  <colItems count="1">
    <i/>
  </colItems>
  <pageFields count="1">
    <pageField fld="3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Dinámica7" cacheId="0" applyNumberFormats="0" applyBorderFormats="0" applyFontFormats="0" applyPatternFormats="0" applyAlignmentFormats="0" applyWidthHeightFormats="1" dataCaption="Valores" updatedVersion="8" useAutoFormatting="1" itemPrintTitles="1" createdVersion="7" indent="0" outline="1" outlineData="1" multipleFieldFilters="0">
  <location ref="A153:C163" firstHeaderRow="0" firstDataRow="1" firstDataCol="1" rowPageCount="1" colPageCount="1"/>
  <pivotFields count="43">
    <pivotField showAll="0"/>
    <pivotField showAll="0"/>
    <pivotField showAll="0"/>
    <pivotField axis="axisPage" showAll="0">
      <items count="13">
        <item m="1" x="10"/>
        <item m="1" x="11"/>
        <item x="0"/>
        <item x="1"/>
        <item x="2"/>
        <item x="3"/>
        <item m="1" x="8"/>
        <item x="4"/>
        <item x="5"/>
        <item m="1" x="9"/>
        <item x="6"/>
        <item x="7"/>
        <item t="default"/>
      </items>
    </pivotField>
    <pivotField axis="axisRow" numFmtId="14" showAll="0">
      <items count="155">
        <item x="0"/>
        <item x="1"/>
        <item x="2"/>
        <item m="1" x="15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8"/>
        <item x="29"/>
        <item x="30"/>
        <item x="32"/>
        <item x="33"/>
        <item x="34"/>
        <item m="1" x="152"/>
        <item x="35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m="1" x="153"/>
        <item x="3"/>
        <item x="23"/>
        <item x="24"/>
        <item x="25"/>
        <item x="26"/>
        <item x="27"/>
        <item x="36"/>
        <item x="38"/>
        <item x="50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1"/>
        <item x="1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numFmtId="2" showAll="0"/>
    <pivotField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122"/>
    </i>
    <i t="grand">
      <x/>
    </i>
  </rowItems>
  <colFields count="1">
    <field x="-2"/>
  </colFields>
  <colItems count="2">
    <i>
      <x/>
    </i>
    <i i="1">
      <x v="1"/>
    </i>
  </colItems>
  <pageFields count="1">
    <pageField fld="3" item="2" hier="-1"/>
  </pageFields>
  <dataFields count="2">
    <dataField name="Suma de Back Up" fld="28" baseField="0" baseItem="0"/>
    <dataField name="Suma de TQ" fld="2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6" displayName="Tabla6" ref="A4:E18" totalsRowShown="0">
  <autoFilter ref="A4:E18" xr:uid="{00000000-0009-0000-0100-000006000000}"/>
  <tableColumns count="5">
    <tableColumn id="1" xr3:uid="{00000000-0010-0000-0000-000001000000}" name="FECHA " dataDxfId="15"/>
    <tableColumn id="3" xr3:uid="{00000000-0010-0000-0000-000003000000}" name="AÑO"/>
    <tableColumn id="2" xr3:uid="{00000000-0010-0000-0000-000002000000}" name="CANTIDAD"/>
    <tableColumn id="5" xr3:uid="{00000000-0010-0000-0000-000005000000}" name="LONGITUD (m)"/>
    <tableColumn id="4" xr3:uid="{00000000-0010-0000-0000-000004000000}" name="CAJAS">
      <calculatedColumnFormula>Tabla6[[#This Row],[CANTIDAD]]/Tabla6[[#This Row],[LONGITUD (m)]]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a7" displayName="Tabla7" ref="H4:P39" totalsRowShown="0">
  <autoFilter ref="H4:P39" xr:uid="{00000000-0009-0000-0100-000007000000}"/>
  <tableColumns count="9">
    <tableColumn id="1" xr3:uid="{00000000-0010-0000-0100-000001000000}" name="FECHA "/>
    <tableColumn id="2" xr3:uid="{00000000-0010-0000-0100-000002000000}" name="AÑO"/>
    <tableColumn id="9" xr3:uid="{00000000-0010-0000-0100-000009000000}" name="CABLE JUMPER             (mts)"/>
    <tableColumn id="8" xr3:uid="{00000000-0010-0000-0100-000008000000}" name="CONDON DETONANTE 5P  (mts)"/>
    <tableColumn id="5" xr3:uid="{00000000-0010-0000-0100-000005000000}" name="EMULSIÓN 500 1 ¼ 12” (KG)"/>
    <tableColumn id="4" xr3:uid="{00000000-0010-0000-0100-000004000000}" name="EMULSIÓN 1000 1 ¼ 12” (KG)"/>
    <tableColumn id="7" xr3:uid="{00000000-0010-0000-0100-000007000000}" name="EMULSIÓN 3000 1 ¼ 12” (KG)"/>
    <tableColumn id="3" xr3:uid="{7560E3B4-53B9-4A86-941A-0C75C1DF3B2D}" name="EMULSIÓN 1000 1 &quot; 8” (KG)2"/>
    <tableColumn id="6" xr3:uid="{00000000-0010-0000-0100-000006000000}" name="EMULSIÓN 5000 1 ¼ 12”  (KG)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4F2179-A8CC-417D-A261-20787A085005}" name="Tabla623" displayName="Tabla623" ref="A4:D13" totalsRowShown="0">
  <autoFilter ref="A4:D13" xr:uid="{D34F2179-A8CC-417D-A261-20787A085005}"/>
  <tableColumns count="4">
    <tableColumn id="1" xr3:uid="{1B3FF666-2CDA-4DB3-8AC0-C3887F3253C4}" name="FECHA "/>
    <tableColumn id="3" xr3:uid="{D8CDB250-51EB-4DAC-A71F-AC5FB1FE190A}" name="AÑO"/>
    <tableColumn id="2" xr3:uid="{BE1149AB-C0C6-41E9-A23E-C5E0A8520B37}" name="CANTIDAD"/>
    <tableColumn id="5" xr3:uid="{FFC39027-CA30-4138-95EC-B8F05104FCF9}" name="LONGITUD (m)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5" displayName="Tabla5" ref="A25:AQ404" totalsRowShown="0" headerRowDxfId="14">
  <autoFilter ref="A25:AQ404" xr:uid="{00000000-0009-0000-0100-000005000000}"/>
  <tableColumns count="43">
    <tableColumn id="1" xr3:uid="{00000000-0010-0000-0200-000001000000}" name="N°¨Vold." dataDxfId="13"/>
    <tableColumn id="8" xr3:uid="{ECC57F35-78BC-4185-AC2C-08CF749B9C4D}" name="ZONA" dataDxfId="12"/>
    <tableColumn id="2" xr3:uid="{00000000-0010-0000-0200-000002000000}" name="AÑO"/>
    <tableColumn id="3" xr3:uid="{00000000-0010-0000-0200-000003000000}" name="Mes"/>
    <tableColumn id="4" xr3:uid="{00000000-0010-0000-0200-000004000000}" name="Fecha de Disparo" dataDxfId="11"/>
    <tableColumn id="5" xr3:uid="{00000000-0010-0000-0200-000005000000}" name="Frente"/>
    <tableColumn id="6" xr3:uid="{00000000-0010-0000-0200-000006000000}" name="#Voladura"/>
    <tableColumn id="7" xr3:uid="{00000000-0010-0000-0200-000007000000}" name="Detonadores Consumidos">
      <calculatedColumnFormula>I26</calculatedColumnFormula>
    </tableColumn>
    <tableColumn id="9" xr3:uid="{00000000-0010-0000-0200-000009000000}" name="Detonador consumido (Fametronic)">
      <calculatedColumnFormula>+Tabla5[[#This Row],[N°TOTAL TALADROS CARGADOS]]</calculatedColumnFormula>
    </tableColumn>
    <tableColumn id="31" xr3:uid="{00000000-0010-0000-0200-00001F000000}" name="Detonador Consumido (Intellishot) "/>
    <tableColumn id="43" xr3:uid="{367C00F2-7F7C-40F9-B5B4-59954751A47C}" name="Detonador Consumido (Digishot) "/>
    <tableColumn id="10" xr3:uid="{00000000-0010-0000-0200-00000A000000}" name="Taladros Simples"/>
    <tableColumn id="11" xr3:uid="{00000000-0010-0000-0200-00000B000000}" name="Taladros Dobles"/>
    <tableColumn id="12" xr3:uid="{00000000-0010-0000-0200-00000C000000}" name="Taladros Triples"/>
    <tableColumn id="13" xr3:uid="{00000000-0010-0000-0200-00000D000000}" name="N°TOTAL TALADROS CARGADOS">
      <calculatedColumnFormula>Tabla5[[#This Row],[Taladros Simples]]+Tabla5[[#This Row],[Taladros Dobles]]+Tabla5[[#This Row],[Taladros Triples]]</calculatedColumnFormula>
    </tableColumn>
    <tableColumn id="38" xr3:uid="{00000000-0010-0000-0200-000026000000}" name="EMULSIÓN 500                 1 ¼ 12” (PZA)"/>
    <tableColumn id="40" xr3:uid="{00000000-0010-0000-0200-000028000000}" name="EMULSIÓN 1000 1 ¼x 12” (PZA)" dataDxfId="10"/>
    <tableColumn id="42" xr3:uid="{24DB0A7F-DBF2-481B-A1E9-48F64336437A}" name="EMULSIÓN 1000 1&quot; x  8” (PZA)2" dataDxfId="9"/>
    <tableColumn id="41" xr3:uid="{00000000-0010-0000-0200-000029000000}" name="EMULSIÓN 3000 1 ¼ 12” (PZA)" dataDxfId="8"/>
    <tableColumn id="39" xr3:uid="{00000000-0010-0000-0200-000027000000}" name="EMULSIÓN 5000                 1 ¼ 12”  (PZA)"/>
    <tableColumn id="14" xr3:uid="{00000000-0010-0000-0200-00000E000000}" name="Responsables "/>
    <tableColumn id="30" xr3:uid="{00000000-0010-0000-0200-00001E000000}" name="Cordon Detonante 5P  (mts)"/>
    <tableColumn id="15" xr3:uid="{00000000-0010-0000-0200-00000F000000}" name="Cable Jumper (m)2x20 - Fametronic"/>
    <tableColumn id="32" xr3:uid="{00000000-0010-0000-0200-000020000000}" name="Cable Jumper (m)2x22 - Intellishot"/>
    <tableColumn id="16" xr3:uid="{00000000-0010-0000-0200-000010000000}" name="Fuga"/>
    <tableColumn id="17" xr3:uid="{00000000-0010-0000-0200-000011000000}" name="Corte"/>
    <tableColumn id="18" xr3:uid="{00000000-0010-0000-0200-000012000000}" name="Otros"/>
    <tableColumn id="19" xr3:uid="{00000000-0010-0000-0200-000013000000}" name="Total No Reply"/>
    <tableColumn id="20" xr3:uid="{00000000-0010-0000-0200-000014000000}" name="Back Up"/>
    <tableColumn id="21" xr3:uid="{00000000-0010-0000-0200-000015000000}" name="TQ"/>
    <tableColumn id="22" xr3:uid="{00000000-0010-0000-0200-000016000000}" name="Current (mA)"/>
    <tableColumn id="23" xr3:uid="{00000000-0010-0000-0200-000017000000}" name="Volumen de Material (m3)">
      <calculatedColumnFormula>-#REF!</calculatedColumnFormula>
    </tableColumn>
    <tableColumn id="24" xr3:uid="{00000000-0010-0000-0200-000018000000}" name="PEM-V01 ES (mm/s)"/>
    <tableColumn id="25" xr3:uid="{00000000-0010-0000-0200-000019000000}" name="DISTANCE (m)"/>
    <tableColumn id="26" xr3:uid="{00000000-0010-0000-0200-00001A000000}" name="PEM-V01 RE (mm/s)"/>
    <tableColumn id="27" xr3:uid="{00000000-0010-0000-0200-00001B000000}" name="PEM-V04 ES (mm/s)"/>
    <tableColumn id="28" xr3:uid="{00000000-0010-0000-0200-00001C000000}" name="DISTANCE (m)2"/>
    <tableColumn id="29" xr3:uid="{00000000-0010-0000-0200-00001D000000}" name="PEM-V04 RE (mm/s)"/>
    <tableColumn id="33" xr3:uid="{00000000-0010-0000-0200-000021000000}" name="PEM-Cs"/>
    <tableColumn id="34" xr3:uid="{00000000-0010-0000-0200-000022000000}" name="DISTANCE (m)4"/>
    <tableColumn id="35" xr3:uid="{00000000-0010-0000-0200-000023000000}" name="PEM-Cs5"/>
    <tableColumn id="36" xr3:uid="{00000000-0010-0000-0200-000024000000}" name="#VOLADURA-ZONA">
      <calculatedColumnFormula>CONCATENATE(F26,"-","Vol"," ",G26)</calculatedColumnFormula>
    </tableColumn>
    <tableColumn id="37" xr3:uid="{00000000-0010-0000-0200-000025000000}" name="OBSERVACIONES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a62" displayName="Tabla62" ref="A4:D13" totalsRowShown="0">
  <autoFilter ref="A4:D13" xr:uid="{00000000-0009-0000-0100-000001000000}"/>
  <tableColumns count="4">
    <tableColumn id="1" xr3:uid="{00000000-0010-0000-0300-000001000000}" name="FECHA "/>
    <tableColumn id="3" xr3:uid="{00000000-0010-0000-0300-000003000000}" name="AÑO"/>
    <tableColumn id="2" xr3:uid="{00000000-0010-0000-0300-000002000000}" name="CANTIDAD"/>
    <tableColumn id="5" xr3:uid="{00000000-0010-0000-0300-000005000000}" name="LONGITUD (m)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13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12" Type="http://schemas.openxmlformats.org/officeDocument/2006/relationships/pivotTable" Target="../pivotTables/pivotTable13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pivotTable" Target="../pivotTables/pivotTable12.xml"/><Relationship Id="rId5" Type="http://schemas.openxmlformats.org/officeDocument/2006/relationships/pivotTable" Target="../pivotTables/pivotTable6.xml"/><Relationship Id="rId10" Type="http://schemas.openxmlformats.org/officeDocument/2006/relationships/pivotTable" Target="../pivotTables/pivotTable11.xml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9FA2-77AE-4EB5-ACF7-BC088C01C5B2}">
  <dimension ref="A1:J12"/>
  <sheetViews>
    <sheetView tabSelected="1" zoomScale="89" workbookViewId="0">
      <selection activeCell="G15" sqref="G15"/>
    </sheetView>
  </sheetViews>
  <sheetFormatPr baseColWidth="10" defaultRowHeight="14.4" x14ac:dyDescent="0.3"/>
  <cols>
    <col min="1" max="1" width="15.33203125" bestFit="1" customWidth="1"/>
    <col min="2" max="2" width="14" customWidth="1"/>
    <col min="3" max="3" width="11.77734375" customWidth="1"/>
    <col min="4" max="4" width="15" customWidth="1"/>
    <col min="5" max="5" width="10.5546875" bestFit="1" customWidth="1"/>
    <col min="6" max="6" width="11.33203125" customWidth="1"/>
    <col min="7" max="7" width="11.77734375" bestFit="1" customWidth="1"/>
    <col min="8" max="8" width="15.6640625" bestFit="1" customWidth="1"/>
    <col min="9" max="9" width="10.44140625" bestFit="1" customWidth="1"/>
    <col min="10" max="10" width="9.88671875" bestFit="1" customWidth="1"/>
    <col min="13" max="13" width="13" customWidth="1"/>
    <col min="14" max="14" width="3" bestFit="1" customWidth="1"/>
    <col min="15" max="15" width="14.5546875" customWidth="1"/>
    <col min="16" max="16" width="2.88671875" bestFit="1" customWidth="1"/>
    <col min="18" max="18" width="2.6640625" bestFit="1" customWidth="1"/>
    <col min="20" max="20" width="2.6640625" bestFit="1" customWidth="1"/>
  </cols>
  <sheetData>
    <row r="1" spans="1:10" s="18" customFormat="1" ht="72" x14ac:dyDescent="0.3">
      <c r="A1" s="68" t="s">
        <v>291</v>
      </c>
      <c r="B1" s="68" t="s">
        <v>377</v>
      </c>
      <c r="C1" s="68" t="s">
        <v>382</v>
      </c>
      <c r="D1" s="68" t="s">
        <v>381</v>
      </c>
      <c r="E1" s="68" t="s">
        <v>380</v>
      </c>
      <c r="F1" s="68" t="s">
        <v>379</v>
      </c>
      <c r="G1" s="68" t="s">
        <v>378</v>
      </c>
      <c r="H1" s="68" t="s">
        <v>374</v>
      </c>
      <c r="I1" s="68" t="s">
        <v>375</v>
      </c>
      <c r="J1" s="68" t="s">
        <v>376</v>
      </c>
    </row>
    <row r="2" spans="1:10" x14ac:dyDescent="0.3">
      <c r="A2" s="27" t="s">
        <v>199</v>
      </c>
      <c r="B2">
        <v>6380</v>
      </c>
      <c r="C2">
        <v>2871.5</v>
      </c>
      <c r="D2">
        <v>67620.320000000007</v>
      </c>
      <c r="E2">
        <v>2512</v>
      </c>
      <c r="F2">
        <v>7007</v>
      </c>
      <c r="G2">
        <v>6950</v>
      </c>
      <c r="H2">
        <v>18600</v>
      </c>
      <c r="I2">
        <v>20000</v>
      </c>
      <c r="J2">
        <v>5017</v>
      </c>
    </row>
    <row r="3" spans="1:10" ht="17.399999999999999" customHeight="1" x14ac:dyDescent="0.3">
      <c r="A3" s="27" t="s">
        <v>144</v>
      </c>
      <c r="B3">
        <v>16517</v>
      </c>
      <c r="C3">
        <v>18464.62</v>
      </c>
      <c r="D3">
        <v>136331.35999999999</v>
      </c>
      <c r="E3">
        <v>4262</v>
      </c>
      <c r="F3">
        <v>11017</v>
      </c>
      <c r="G3">
        <v>18370</v>
      </c>
      <c r="H3">
        <v>29000</v>
      </c>
      <c r="I3">
        <v>33800</v>
      </c>
      <c r="J3">
        <v>16237.2</v>
      </c>
    </row>
    <row r="4" spans="1:10" ht="35.4" customHeight="1" x14ac:dyDescent="0.3">
      <c r="A4" s="69" t="s">
        <v>290</v>
      </c>
      <c r="B4" s="70">
        <v>22897</v>
      </c>
      <c r="C4" s="70">
        <v>21336.12</v>
      </c>
      <c r="D4" s="70">
        <v>203951.68</v>
      </c>
      <c r="E4" s="70">
        <v>6774</v>
      </c>
      <c r="F4" s="70">
        <v>18024</v>
      </c>
      <c r="G4" s="70">
        <v>25320</v>
      </c>
      <c r="H4" s="70">
        <v>47600</v>
      </c>
      <c r="I4" s="70">
        <v>53800</v>
      </c>
      <c r="J4" s="70">
        <v>21254.2</v>
      </c>
    </row>
    <row r="5" spans="1:10" x14ac:dyDescent="0.3">
      <c r="A5" s="71" t="s">
        <v>395</v>
      </c>
      <c r="B5" s="73">
        <f>22897*(25/230)</f>
        <v>2488.804347826087</v>
      </c>
      <c r="C5" s="73">
        <f>21336.12*(25/100)</f>
        <v>5334.03</v>
      </c>
      <c r="D5" s="73">
        <f>203951.68*(25/94)</f>
        <v>54242.468085106382</v>
      </c>
      <c r="E5" s="72"/>
      <c r="F5" s="72"/>
      <c r="G5" s="72"/>
      <c r="H5" s="72"/>
      <c r="I5" s="72"/>
      <c r="J5" s="72"/>
    </row>
    <row r="8" spans="1:10" s="18" customFormat="1" x14ac:dyDescent="0.3">
      <c r="A8" s="53"/>
      <c r="B8" s="66" t="s">
        <v>390</v>
      </c>
      <c r="C8" s="66"/>
      <c r="D8" s="66"/>
      <c r="E8" s="66"/>
      <c r="F8" s="66"/>
      <c r="G8" s="66"/>
      <c r="H8" s="66"/>
      <c r="I8" s="54"/>
    </row>
    <row r="9" spans="1:10" ht="27" x14ac:dyDescent="0.3">
      <c r="A9" s="51" t="s">
        <v>387</v>
      </c>
      <c r="B9" s="52" t="s">
        <v>383</v>
      </c>
      <c r="C9" s="52"/>
      <c r="D9" s="52" t="s">
        <v>384</v>
      </c>
      <c r="E9" s="52"/>
      <c r="F9" s="52" t="s">
        <v>385</v>
      </c>
      <c r="G9" s="52"/>
      <c r="H9" s="52" t="s">
        <v>386</v>
      </c>
      <c r="I9" s="51"/>
    </row>
    <row r="10" spans="1:10" x14ac:dyDescent="0.3">
      <c r="A10" s="55" t="s">
        <v>388</v>
      </c>
      <c r="B10" s="55">
        <f>+SUM(B5:D5)</f>
        <v>62065.302432932469</v>
      </c>
      <c r="C10" s="55" t="s">
        <v>83</v>
      </c>
      <c r="D10" s="57" t="s">
        <v>393</v>
      </c>
      <c r="E10" s="57" t="s">
        <v>223</v>
      </c>
      <c r="F10" s="57" t="s">
        <v>393</v>
      </c>
      <c r="G10" s="57"/>
      <c r="H10" s="57" t="s">
        <v>393</v>
      </c>
      <c r="I10" s="55"/>
    </row>
    <row r="11" spans="1:10" x14ac:dyDescent="0.3">
      <c r="A11" s="55" t="s">
        <v>394</v>
      </c>
      <c r="B11" s="57" t="s">
        <v>392</v>
      </c>
      <c r="C11" s="55"/>
      <c r="D11" s="55">
        <f>+SUM(E4:G4)</f>
        <v>50118</v>
      </c>
      <c r="E11" s="55" t="s">
        <v>391</v>
      </c>
      <c r="F11" s="55">
        <f>+SUM(H4:I4)</f>
        <v>101400</v>
      </c>
      <c r="G11" s="55" t="s">
        <v>78</v>
      </c>
      <c r="H11" s="55">
        <f>+SUM(J4)</f>
        <v>21254.2</v>
      </c>
      <c r="I11" s="55" t="s">
        <v>78</v>
      </c>
    </row>
    <row r="12" spans="1:10" x14ac:dyDescent="0.3">
      <c r="A12" s="56" t="s">
        <v>389</v>
      </c>
      <c r="B12" s="56">
        <f>+B10</f>
        <v>62065.302432932469</v>
      </c>
      <c r="C12" s="56" t="s">
        <v>83</v>
      </c>
      <c r="D12" s="56">
        <f>+D11</f>
        <v>50118</v>
      </c>
      <c r="E12" s="56" t="s">
        <v>391</v>
      </c>
      <c r="F12" s="56">
        <f>+F11</f>
        <v>101400</v>
      </c>
      <c r="G12" s="56" t="s">
        <v>78</v>
      </c>
      <c r="H12" s="56">
        <f>+H11</f>
        <v>21254.2</v>
      </c>
      <c r="I12" s="56" t="s">
        <v>78</v>
      </c>
    </row>
  </sheetData>
  <mergeCells count="1">
    <mergeCell ref="B8:H8"/>
  </mergeCell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39"/>
  <sheetViews>
    <sheetView showGridLines="0" topLeftCell="E1" zoomScale="79" zoomScaleNormal="79" workbookViewId="0">
      <pane ySplit="4" topLeftCell="A5" activePane="bottomLeft" state="frozen"/>
      <selection activeCell="D1" sqref="D1"/>
      <selection pane="bottomLeft" activeCell="D1" sqref="D1"/>
    </sheetView>
  </sheetViews>
  <sheetFormatPr baseColWidth="10" defaultColWidth="11.44140625" defaultRowHeight="15" customHeight="1" x14ac:dyDescent="0.3"/>
  <cols>
    <col min="1" max="1" width="32.109375" customWidth="1"/>
    <col min="2" max="3" width="18.109375" customWidth="1"/>
    <col min="4" max="4" width="16.6640625" bestFit="1" customWidth="1"/>
    <col min="7" max="7" width="1.88671875" customWidth="1"/>
    <col min="8" max="8" width="34.88671875" customWidth="1"/>
    <col min="9" max="9" width="17.44140625" customWidth="1"/>
    <col min="10" max="11" width="15.33203125" customWidth="1"/>
    <col min="12" max="12" width="15.5546875" customWidth="1"/>
    <col min="13" max="17" width="17.44140625" customWidth="1"/>
  </cols>
  <sheetData>
    <row r="1" spans="1:18" ht="15" customHeight="1" x14ac:dyDescent="0.3">
      <c r="B1" s="58" t="s">
        <v>0</v>
      </c>
      <c r="C1" s="58"/>
      <c r="J1" s="58" t="s">
        <v>1</v>
      </c>
      <c r="K1" s="58"/>
      <c r="L1" s="58"/>
      <c r="M1" s="58"/>
      <c r="N1" s="58"/>
      <c r="O1" s="58"/>
      <c r="P1" s="58"/>
    </row>
    <row r="2" spans="1:18" ht="15" customHeight="1" x14ac:dyDescent="0.3">
      <c r="B2" s="58"/>
      <c r="C2" s="58"/>
      <c r="J2" s="58"/>
      <c r="K2" s="58"/>
      <c r="L2" s="58"/>
      <c r="M2" s="58"/>
      <c r="N2" s="58"/>
      <c r="O2" s="58"/>
      <c r="P2" s="58"/>
    </row>
    <row r="3" spans="1:18" ht="14.4" x14ac:dyDescent="0.3">
      <c r="B3" s="58"/>
      <c r="C3" s="58"/>
      <c r="L3" s="58" t="s">
        <v>2</v>
      </c>
      <c r="M3" s="58"/>
      <c r="N3" s="58"/>
      <c r="O3" s="58"/>
      <c r="P3" s="58"/>
    </row>
    <row r="4" spans="1:18" ht="35.25" customHeight="1" x14ac:dyDescent="0.3">
      <c r="A4" t="s">
        <v>3</v>
      </c>
      <c r="B4" t="s">
        <v>4</v>
      </c>
      <c r="C4" t="s">
        <v>5</v>
      </c>
      <c r="D4" t="s">
        <v>6</v>
      </c>
      <c r="E4" t="s">
        <v>7</v>
      </c>
      <c r="H4" t="s">
        <v>3</v>
      </c>
      <c r="I4" s="18" t="s">
        <v>4</v>
      </c>
      <c r="J4" s="18" t="s">
        <v>8</v>
      </c>
      <c r="K4" s="18" t="s">
        <v>9</v>
      </c>
      <c r="L4" s="18" t="s">
        <v>10</v>
      </c>
      <c r="M4" s="18" t="s">
        <v>11</v>
      </c>
      <c r="N4" s="18" t="s">
        <v>12</v>
      </c>
      <c r="O4" s="18" t="s">
        <v>13</v>
      </c>
      <c r="P4" s="18" t="s">
        <v>14</v>
      </c>
    </row>
    <row r="5" spans="1:18" ht="14.4" x14ac:dyDescent="0.3">
      <c r="A5" s="1">
        <v>45358</v>
      </c>
      <c r="B5">
        <v>2024</v>
      </c>
      <c r="C5">
        <v>1260</v>
      </c>
      <c r="D5">
        <v>6</v>
      </c>
      <c r="E5">
        <f>Tabla6[[#This Row],[CANTIDAD]]/Tabla6[[#This Row],[LONGITUD (m)]]</f>
        <v>210</v>
      </c>
      <c r="H5" s="1">
        <v>45358</v>
      </c>
      <c r="I5">
        <v>2024</v>
      </c>
      <c r="J5">
        <v>1600</v>
      </c>
      <c r="K5">
        <v>1500</v>
      </c>
      <c r="N5">
        <v>1000</v>
      </c>
      <c r="R5" t="s">
        <v>15</v>
      </c>
    </row>
    <row r="6" spans="1:18" ht="14.4" x14ac:dyDescent="0.3">
      <c r="A6" s="1">
        <v>45386</v>
      </c>
      <c r="B6">
        <v>2024</v>
      </c>
      <c r="C6">
        <v>1035</v>
      </c>
      <c r="D6">
        <v>15</v>
      </c>
      <c r="E6">
        <f>Tabla6[[#This Row],[CANTIDAD]]/Tabla6[[#This Row],[LONGITUD (m)]]</f>
        <v>69</v>
      </c>
      <c r="H6" s="1">
        <v>45378</v>
      </c>
      <c r="I6">
        <v>2024</v>
      </c>
      <c r="K6">
        <v>3000</v>
      </c>
      <c r="M6">
        <v>1500</v>
      </c>
      <c r="N6">
        <v>1500</v>
      </c>
    </row>
    <row r="7" spans="1:18" ht="14.4" x14ac:dyDescent="0.3">
      <c r="A7" s="1">
        <v>45392</v>
      </c>
      <c r="B7">
        <v>2024</v>
      </c>
      <c r="C7">
        <v>1800</v>
      </c>
      <c r="D7">
        <v>6</v>
      </c>
      <c r="E7">
        <f>Tabla6[[#This Row],[CANTIDAD]]/Tabla6[[#This Row],[LONGITUD (m)]]</f>
        <v>300</v>
      </c>
      <c r="H7" s="1">
        <v>45383</v>
      </c>
      <c r="I7">
        <v>2024</v>
      </c>
      <c r="K7">
        <v>3000</v>
      </c>
      <c r="M7">
        <v>1500</v>
      </c>
      <c r="N7">
        <v>1500</v>
      </c>
    </row>
    <row r="8" spans="1:18" ht="14.4" x14ac:dyDescent="0.3">
      <c r="A8" s="1">
        <v>45393</v>
      </c>
      <c r="B8">
        <v>2024</v>
      </c>
      <c r="C8">
        <v>660</v>
      </c>
      <c r="D8">
        <v>6</v>
      </c>
      <c r="E8">
        <f>Tabla6[[#This Row],[CANTIDAD]]/Tabla6[[#This Row],[LONGITUD (m)]]</f>
        <v>110</v>
      </c>
      <c r="H8" s="1">
        <v>45386</v>
      </c>
      <c r="I8">
        <v>2024</v>
      </c>
      <c r="J8">
        <v>1600</v>
      </c>
    </row>
    <row r="9" spans="1:18" ht="14.4" x14ac:dyDescent="0.3">
      <c r="A9" s="1">
        <v>45399</v>
      </c>
      <c r="B9">
        <v>2024</v>
      </c>
      <c r="C9">
        <v>2520</v>
      </c>
      <c r="D9">
        <v>6</v>
      </c>
      <c r="E9">
        <f>Tabla6[[#This Row],[CANTIDAD]]/Tabla6[[#This Row],[LONGITUD (m)]]</f>
        <v>420</v>
      </c>
      <c r="H9" s="1">
        <v>45390</v>
      </c>
      <c r="I9">
        <v>2024</v>
      </c>
      <c r="J9">
        <v>2200</v>
      </c>
      <c r="N9">
        <v>1950</v>
      </c>
    </row>
    <row r="10" spans="1:18" ht="14.4" x14ac:dyDescent="0.3">
      <c r="A10" s="1">
        <v>45419</v>
      </c>
      <c r="B10">
        <v>2024</v>
      </c>
      <c r="C10">
        <v>5040</v>
      </c>
      <c r="D10">
        <v>6</v>
      </c>
      <c r="E10">
        <f>Tabla6[[#This Row],[CANTIDAD]]/Tabla6[[#This Row],[LONGITUD (m)]]</f>
        <v>840</v>
      </c>
      <c r="H10" s="1">
        <v>45392</v>
      </c>
      <c r="I10">
        <v>2024</v>
      </c>
      <c r="J10">
        <v>8000</v>
      </c>
    </row>
    <row r="11" spans="1:18" ht="14.4" x14ac:dyDescent="0.3">
      <c r="A11" s="1">
        <v>45441</v>
      </c>
      <c r="B11">
        <v>2024</v>
      </c>
      <c r="C11">
        <v>1380</v>
      </c>
      <c r="D11">
        <v>6</v>
      </c>
      <c r="E11">
        <f>Tabla6[[#This Row],[CANTIDAD]]/Tabla6[[#This Row],[LONGITUD (m)]]</f>
        <v>230</v>
      </c>
      <c r="H11" s="1">
        <v>45386</v>
      </c>
      <c r="I11">
        <v>2024</v>
      </c>
      <c r="M11">
        <v>1500</v>
      </c>
    </row>
    <row r="12" spans="1:18" ht="14.4" x14ac:dyDescent="0.3">
      <c r="A12" s="1">
        <v>45447</v>
      </c>
      <c r="B12">
        <v>2024</v>
      </c>
      <c r="C12">
        <v>1140</v>
      </c>
      <c r="D12">
        <v>6</v>
      </c>
      <c r="E12">
        <f>Tabla6[[#This Row],[CANTIDAD]]/Tabla6[[#This Row],[LONGITUD (m)]]</f>
        <v>190</v>
      </c>
      <c r="H12" s="1">
        <v>45417</v>
      </c>
      <c r="I12">
        <v>2024</v>
      </c>
      <c r="N12">
        <v>1500</v>
      </c>
    </row>
    <row r="13" spans="1:18" ht="14.4" x14ac:dyDescent="0.3">
      <c r="A13" s="1">
        <v>45447</v>
      </c>
      <c r="B13">
        <v>2024</v>
      </c>
      <c r="C13">
        <v>315</v>
      </c>
      <c r="D13">
        <v>15</v>
      </c>
      <c r="E13">
        <f>Tabla6[[#This Row],[CANTIDAD]]/Tabla6[[#This Row],[LONGITUD (m)]]</f>
        <v>21</v>
      </c>
      <c r="F13" s="10" t="s">
        <v>16</v>
      </c>
      <c r="H13" s="1">
        <v>45419</v>
      </c>
      <c r="I13">
        <v>2024</v>
      </c>
      <c r="J13">
        <v>8000</v>
      </c>
    </row>
    <row r="14" spans="1:18" ht="14.4" x14ac:dyDescent="0.3">
      <c r="A14" s="1">
        <v>45483</v>
      </c>
      <c r="B14">
        <v>2024</v>
      </c>
      <c r="C14">
        <v>4020</v>
      </c>
      <c r="D14">
        <v>10</v>
      </c>
      <c r="E14">
        <f>C14/60</f>
        <v>67</v>
      </c>
      <c r="H14" s="1">
        <v>45419</v>
      </c>
      <c r="I14">
        <v>2024</v>
      </c>
      <c r="K14">
        <v>1500</v>
      </c>
      <c r="N14">
        <v>2000</v>
      </c>
    </row>
    <row r="15" spans="1:18" ht="14.4" x14ac:dyDescent="0.3">
      <c r="A15" s="1">
        <v>45490</v>
      </c>
      <c r="B15">
        <v>2024</v>
      </c>
      <c r="C15">
        <v>1500</v>
      </c>
      <c r="D15">
        <v>10</v>
      </c>
      <c r="E15">
        <f>C15/60</f>
        <v>25</v>
      </c>
      <c r="H15" s="1" t="s">
        <v>17</v>
      </c>
      <c r="I15">
        <v>2024</v>
      </c>
      <c r="J15">
        <v>8000</v>
      </c>
      <c r="N15">
        <v>100</v>
      </c>
    </row>
    <row r="16" spans="1:18" ht="14.4" x14ac:dyDescent="0.3">
      <c r="A16" s="1">
        <v>45492</v>
      </c>
      <c r="B16">
        <v>2024</v>
      </c>
      <c r="C16">
        <v>2220</v>
      </c>
      <c r="D16">
        <v>10</v>
      </c>
      <c r="E16">
        <f>Tabla6[[#This Row],[CANTIDAD]]/60</f>
        <v>37</v>
      </c>
      <c r="H16" s="1">
        <v>45457</v>
      </c>
      <c r="I16">
        <v>2024</v>
      </c>
      <c r="M16">
        <v>900</v>
      </c>
      <c r="N16">
        <v>3000</v>
      </c>
    </row>
    <row r="17" spans="1:16" ht="14.4" x14ac:dyDescent="0.3">
      <c r="A17" s="1">
        <v>45497</v>
      </c>
      <c r="B17">
        <v>2024</v>
      </c>
      <c r="C17">
        <f>60*65</f>
        <v>3900</v>
      </c>
      <c r="D17">
        <v>10</v>
      </c>
      <c r="E17">
        <f>Tabla6[[#This Row],[CANTIDAD]]/60</f>
        <v>65</v>
      </c>
      <c r="H17" s="1">
        <v>45461</v>
      </c>
      <c r="I17">
        <v>2024</v>
      </c>
      <c r="K17">
        <v>6000</v>
      </c>
      <c r="N17">
        <v>3000</v>
      </c>
    </row>
    <row r="18" spans="1:16" ht="14.4" x14ac:dyDescent="0.3">
      <c r="A18" s="1"/>
      <c r="H18" s="1">
        <v>45469</v>
      </c>
      <c r="I18">
        <v>2024</v>
      </c>
      <c r="N18">
        <v>1000</v>
      </c>
      <c r="O18" s="17">
        <v>2000</v>
      </c>
    </row>
    <row r="19" spans="1:16" ht="14.4" x14ac:dyDescent="0.3">
      <c r="A19" s="1"/>
      <c r="H19" s="1">
        <v>45474</v>
      </c>
      <c r="I19">
        <v>2024</v>
      </c>
      <c r="N19">
        <v>3500</v>
      </c>
    </row>
    <row r="20" spans="1:16" ht="14.4" x14ac:dyDescent="0.3">
      <c r="A20" s="1"/>
      <c r="H20" s="1">
        <v>45483</v>
      </c>
      <c r="I20">
        <v>2024</v>
      </c>
      <c r="J20">
        <v>10400</v>
      </c>
      <c r="N20">
        <v>3500</v>
      </c>
    </row>
    <row r="21" spans="1:16" ht="14.4" x14ac:dyDescent="0.3">
      <c r="A21" s="1"/>
      <c r="H21" s="1">
        <v>45485</v>
      </c>
      <c r="I21">
        <v>2024</v>
      </c>
      <c r="N21">
        <v>3766</v>
      </c>
    </row>
    <row r="22" spans="1:16" ht="14.4" x14ac:dyDescent="0.3">
      <c r="A22" s="1"/>
      <c r="H22" s="1">
        <v>45486</v>
      </c>
      <c r="I22">
        <v>2024</v>
      </c>
      <c r="O22">
        <v>1600</v>
      </c>
    </row>
    <row r="23" spans="1:16" ht="14.4" x14ac:dyDescent="0.3">
      <c r="A23" s="1"/>
      <c r="H23" s="1">
        <v>45488</v>
      </c>
      <c r="I23">
        <v>2024</v>
      </c>
      <c r="N23">
        <v>3500</v>
      </c>
    </row>
    <row r="24" spans="1:16" ht="14.4" x14ac:dyDescent="0.3">
      <c r="A24" s="1"/>
      <c r="H24" s="1">
        <v>45489</v>
      </c>
      <c r="I24">
        <v>2024</v>
      </c>
      <c r="K24">
        <v>6000</v>
      </c>
    </row>
    <row r="25" spans="1:16" ht="14.4" x14ac:dyDescent="0.3">
      <c r="A25" s="1"/>
      <c r="H25" s="32">
        <v>45493</v>
      </c>
      <c r="I25" s="33">
        <v>2024</v>
      </c>
      <c r="J25" s="33"/>
      <c r="K25" s="33"/>
      <c r="L25" s="33"/>
      <c r="M25" s="33"/>
      <c r="N25" s="33">
        <v>3800</v>
      </c>
      <c r="O25" s="33"/>
      <c r="P25" s="33"/>
    </row>
    <row r="26" spans="1:16" ht="14.4" x14ac:dyDescent="0.3">
      <c r="A26" s="1"/>
      <c r="H26" s="32">
        <v>45495</v>
      </c>
      <c r="I26" s="33">
        <v>2024</v>
      </c>
      <c r="J26" s="33"/>
      <c r="K26" s="33"/>
      <c r="L26" s="33"/>
      <c r="M26" s="33"/>
      <c r="N26" s="33">
        <v>3800</v>
      </c>
      <c r="O26" s="33"/>
      <c r="P26" s="33"/>
    </row>
    <row r="27" spans="1:16" ht="14.4" x14ac:dyDescent="0.3">
      <c r="A27" s="1"/>
      <c r="H27" s="32">
        <v>45497</v>
      </c>
      <c r="I27" s="33">
        <v>2024</v>
      </c>
      <c r="J27" s="33">
        <f>800*12</f>
        <v>9600</v>
      </c>
      <c r="K27" s="33"/>
      <c r="L27" s="33"/>
      <c r="M27" s="33"/>
      <c r="N27" s="33"/>
      <c r="O27" s="33"/>
      <c r="P27" s="33"/>
    </row>
    <row r="28" spans="1:16" ht="14.4" x14ac:dyDescent="0.3">
      <c r="A28" s="1"/>
      <c r="H28" s="32">
        <v>45499</v>
      </c>
      <c r="I28" s="33">
        <v>2024</v>
      </c>
      <c r="J28" s="33"/>
      <c r="K28" s="33"/>
      <c r="L28" s="33"/>
      <c r="M28" s="33"/>
      <c r="N28" s="33">
        <v>3800</v>
      </c>
      <c r="O28" s="33"/>
      <c r="P28" s="33"/>
    </row>
    <row r="29" spans="1:16" ht="14.4" x14ac:dyDescent="0.3">
      <c r="A29" s="1"/>
      <c r="H29" s="32">
        <v>45499</v>
      </c>
      <c r="I29" s="33">
        <v>2024</v>
      </c>
      <c r="J29" s="33"/>
      <c r="K29" s="33">
        <v>6000</v>
      </c>
      <c r="L29" s="33"/>
      <c r="M29" s="33"/>
      <c r="N29" s="33"/>
      <c r="O29" s="33"/>
      <c r="P29" s="33"/>
    </row>
    <row r="30" spans="1:16" ht="14.4" x14ac:dyDescent="0.3">
      <c r="B30" s="58" t="s">
        <v>18</v>
      </c>
      <c r="C30" s="58"/>
      <c r="H30" s="32">
        <v>45503</v>
      </c>
      <c r="I30" s="33">
        <v>2024</v>
      </c>
      <c r="J30" s="33"/>
      <c r="K30" s="33"/>
      <c r="L30" s="33"/>
      <c r="M30" s="33"/>
      <c r="N30" s="33">
        <v>3800</v>
      </c>
      <c r="O30" s="33"/>
      <c r="P30" s="33"/>
    </row>
    <row r="31" spans="1:16" ht="14.4" x14ac:dyDescent="0.3">
      <c r="B31" s="58"/>
      <c r="C31" s="58"/>
      <c r="H31" s="33" t="s">
        <v>19</v>
      </c>
      <c r="I31" s="33">
        <v>2024</v>
      </c>
      <c r="J31" s="33">
        <v>-400</v>
      </c>
      <c r="K31" s="33"/>
      <c r="L31" s="33"/>
      <c r="M31" s="33"/>
      <c r="N31" s="33"/>
      <c r="O31" s="33"/>
      <c r="P31" s="33"/>
    </row>
    <row r="32" spans="1:16" ht="14.4" x14ac:dyDescent="0.3">
      <c r="B32" s="58"/>
      <c r="C32" s="58"/>
      <c r="H32" s="32">
        <v>45506</v>
      </c>
      <c r="I32" s="33">
        <v>2024</v>
      </c>
      <c r="J32" s="33"/>
      <c r="K32" s="33"/>
      <c r="L32" s="33"/>
      <c r="M32" s="33"/>
      <c r="N32" s="33">
        <v>3800</v>
      </c>
      <c r="O32" s="33"/>
      <c r="P32" s="33"/>
    </row>
    <row r="33" spans="1:16" ht="14.4" x14ac:dyDescent="0.3">
      <c r="A33" t="s">
        <v>3</v>
      </c>
      <c r="B33" t="s">
        <v>4</v>
      </c>
      <c r="C33" t="s">
        <v>5</v>
      </c>
      <c r="D33" t="s">
        <v>6</v>
      </c>
      <c r="E33" t="s">
        <v>20</v>
      </c>
      <c r="F33" t="s">
        <v>21</v>
      </c>
      <c r="H33" s="32">
        <v>45507</v>
      </c>
      <c r="I33" s="33">
        <v>2024</v>
      </c>
      <c r="J33" s="33"/>
      <c r="K33" s="33"/>
      <c r="L33" s="33"/>
      <c r="M33" s="33">
        <v>1000</v>
      </c>
      <c r="N33" s="33"/>
      <c r="O33" s="33"/>
      <c r="P33" s="33"/>
    </row>
    <row r="34" spans="1:16" ht="14.4" x14ac:dyDescent="0.3">
      <c r="A34" s="1">
        <v>45447</v>
      </c>
      <c r="B34">
        <v>2024</v>
      </c>
      <c r="C34">
        <v>315</v>
      </c>
      <c r="D34">
        <v>15</v>
      </c>
      <c r="E34">
        <v>91</v>
      </c>
      <c r="F34">
        <v>30</v>
      </c>
      <c r="H34" s="32">
        <v>45511</v>
      </c>
      <c r="I34" s="33">
        <v>2024</v>
      </c>
      <c r="J34" s="33"/>
      <c r="K34" s="33"/>
      <c r="L34" s="33"/>
      <c r="M34" s="33"/>
      <c r="N34" s="33">
        <v>1200</v>
      </c>
      <c r="O34" s="33"/>
      <c r="P34" s="33"/>
    </row>
    <row r="35" spans="1:16" ht="14.4" x14ac:dyDescent="0.3">
      <c r="E35">
        <v>92</v>
      </c>
      <c r="F35">
        <v>72</v>
      </c>
      <c r="H35" s="32">
        <v>45513</v>
      </c>
      <c r="I35" s="33">
        <v>2024</v>
      </c>
      <c r="J35" s="33">
        <v>8800</v>
      </c>
      <c r="K35" s="33"/>
      <c r="L35" s="33"/>
      <c r="M35" s="33"/>
      <c r="N35" s="33"/>
      <c r="O35" s="33"/>
      <c r="P35" s="33"/>
    </row>
    <row r="36" spans="1:16" ht="14.4" x14ac:dyDescent="0.3">
      <c r="E36">
        <v>93</v>
      </c>
      <c r="F36">
        <v>115</v>
      </c>
      <c r="H36" s="32">
        <v>45514</v>
      </c>
      <c r="I36" s="33">
        <v>2024</v>
      </c>
      <c r="J36" s="33"/>
      <c r="K36" s="33"/>
      <c r="L36" s="33"/>
      <c r="M36" s="33">
        <v>1500</v>
      </c>
      <c r="N36" s="33"/>
      <c r="O36" s="33"/>
      <c r="P36" s="33"/>
    </row>
    <row r="37" spans="1:16" ht="14.4" x14ac:dyDescent="0.3">
      <c r="E37">
        <v>94</v>
      </c>
      <c r="F37">
        <v>32</v>
      </c>
      <c r="H37" s="32">
        <v>45516</v>
      </c>
      <c r="I37" s="33">
        <v>2024</v>
      </c>
      <c r="J37" s="33"/>
      <c r="K37" s="33"/>
      <c r="L37" s="33"/>
      <c r="M37" s="33">
        <v>1500</v>
      </c>
      <c r="N37" s="33"/>
      <c r="O37" s="33"/>
      <c r="P37" s="33"/>
    </row>
    <row r="38" spans="1:16" ht="14.4" x14ac:dyDescent="0.3">
      <c r="E38">
        <v>95</v>
      </c>
      <c r="F38">
        <v>30</v>
      </c>
      <c r="H38" s="33" t="s">
        <v>22</v>
      </c>
      <c r="I38" s="33">
        <v>2024</v>
      </c>
      <c r="J38" s="33">
        <v>-600</v>
      </c>
      <c r="K38" s="33"/>
      <c r="L38" s="33"/>
      <c r="M38" s="33"/>
      <c r="N38" s="33"/>
      <c r="O38" s="33"/>
      <c r="P38" s="33"/>
    </row>
    <row r="39" spans="1:16" ht="14.4" hidden="1" x14ac:dyDescent="0.3">
      <c r="E39" t="s">
        <v>23</v>
      </c>
      <c r="F39">
        <v>36</v>
      </c>
      <c r="H39" s="33" t="s">
        <v>24</v>
      </c>
      <c r="I39" s="33">
        <v>2024</v>
      </c>
      <c r="J39" s="33"/>
      <c r="K39" s="33">
        <f xml:space="preserve"> (0-1149.8)</f>
        <v>-1149.8</v>
      </c>
      <c r="L39" s="33"/>
      <c r="M39" s="33">
        <f>(0-65.97)</f>
        <v>-65.97</v>
      </c>
      <c r="N39" s="33">
        <v>1408.42</v>
      </c>
      <c r="O39" s="33">
        <f xml:space="preserve"> 675.87 + 216.17</f>
        <v>892.04</v>
      </c>
      <c r="P39" s="33"/>
    </row>
  </sheetData>
  <mergeCells count="4">
    <mergeCell ref="L3:P3"/>
    <mergeCell ref="B1:C3"/>
    <mergeCell ref="J1:P2"/>
    <mergeCell ref="B30:C32"/>
  </mergeCell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1CB46-541E-448D-B27E-C60990A4ECA4}">
  <dimension ref="A1:G166"/>
  <sheetViews>
    <sheetView topLeftCell="A39" workbookViewId="0">
      <selection activeCell="F63" sqref="F63:G63"/>
    </sheetView>
  </sheetViews>
  <sheetFormatPr baseColWidth="10" defaultColWidth="11.44140625" defaultRowHeight="14.4" x14ac:dyDescent="0.3"/>
  <cols>
    <col min="6" max="6" width="21.88671875" bestFit="1" customWidth="1"/>
  </cols>
  <sheetData>
    <row r="1" spans="1:7" x14ac:dyDescent="0.3">
      <c r="B1" s="58" t="s">
        <v>25</v>
      </c>
      <c r="C1" s="58"/>
      <c r="F1" s="12"/>
      <c r="G1" s="12"/>
    </row>
    <row r="2" spans="1:7" x14ac:dyDescent="0.3">
      <c r="B2" s="58"/>
      <c r="C2" s="58"/>
      <c r="F2" s="12"/>
      <c r="G2" s="12"/>
    </row>
    <row r="3" spans="1:7" x14ac:dyDescent="0.3">
      <c r="B3" s="58"/>
      <c r="C3" s="58"/>
      <c r="F3" s="12"/>
      <c r="G3" s="12"/>
    </row>
    <row r="4" spans="1:7" x14ac:dyDescent="0.3">
      <c r="A4" t="s">
        <v>3</v>
      </c>
      <c r="B4" t="s">
        <v>4</v>
      </c>
      <c r="C4" t="s">
        <v>5</v>
      </c>
      <c r="D4" t="s">
        <v>6</v>
      </c>
      <c r="F4" s="13" t="s">
        <v>20</v>
      </c>
      <c r="G4" s="13" t="s">
        <v>21</v>
      </c>
    </row>
    <row r="5" spans="1:7" x14ac:dyDescent="0.3">
      <c r="A5" s="1">
        <v>45479</v>
      </c>
      <c r="B5">
        <v>2024</v>
      </c>
      <c r="C5">
        <v>3300</v>
      </c>
      <c r="D5">
        <v>15</v>
      </c>
      <c r="F5" s="14">
        <v>162</v>
      </c>
      <c r="G5" s="14">
        <v>171</v>
      </c>
    </row>
    <row r="6" spans="1:7" x14ac:dyDescent="0.3">
      <c r="A6" s="1">
        <v>45504</v>
      </c>
      <c r="B6">
        <v>2024</v>
      </c>
      <c r="C6">
        <v>2700</v>
      </c>
      <c r="D6">
        <v>15</v>
      </c>
      <c r="F6" s="14" t="s">
        <v>26</v>
      </c>
      <c r="G6" s="14">
        <v>111</v>
      </c>
    </row>
    <row r="7" spans="1:7" x14ac:dyDescent="0.3">
      <c r="A7" s="1">
        <v>45509</v>
      </c>
      <c r="B7">
        <v>2024</v>
      </c>
      <c r="C7">
        <v>4020</v>
      </c>
      <c r="D7">
        <v>15</v>
      </c>
      <c r="F7" s="14">
        <v>163</v>
      </c>
      <c r="G7" s="14">
        <v>177</v>
      </c>
    </row>
    <row r="8" spans="1:7" x14ac:dyDescent="0.3">
      <c r="A8" s="1"/>
      <c r="F8" s="14" t="s">
        <v>27</v>
      </c>
      <c r="G8" s="14">
        <v>141</v>
      </c>
    </row>
    <row r="9" spans="1:7" x14ac:dyDescent="0.3">
      <c r="A9" s="1"/>
      <c r="F9" s="14" t="s">
        <v>28</v>
      </c>
      <c r="G9" s="14">
        <v>155</v>
      </c>
    </row>
    <row r="10" spans="1:7" x14ac:dyDescent="0.3">
      <c r="F10" s="14">
        <v>164</v>
      </c>
      <c r="G10" s="14">
        <v>205</v>
      </c>
    </row>
    <row r="11" spans="1:7" x14ac:dyDescent="0.3">
      <c r="F11" s="14">
        <v>165</v>
      </c>
      <c r="G11" s="14">
        <v>186</v>
      </c>
    </row>
    <row r="12" spans="1:7" x14ac:dyDescent="0.3">
      <c r="F12" s="14" t="s">
        <v>29</v>
      </c>
      <c r="G12" s="14">
        <v>147</v>
      </c>
    </row>
    <row r="13" spans="1:7" x14ac:dyDescent="0.3">
      <c r="F13" s="14">
        <v>166</v>
      </c>
      <c r="G13" s="14">
        <v>171</v>
      </c>
    </row>
    <row r="14" spans="1:7" x14ac:dyDescent="0.3">
      <c r="F14" s="14">
        <v>167</v>
      </c>
      <c r="G14" s="14">
        <v>196</v>
      </c>
    </row>
    <row r="15" spans="1:7" x14ac:dyDescent="0.3">
      <c r="F15" s="14">
        <v>168</v>
      </c>
      <c r="G15" s="14">
        <v>178</v>
      </c>
    </row>
    <row r="16" spans="1:7" x14ac:dyDescent="0.3">
      <c r="F16" s="14" t="s">
        <v>30</v>
      </c>
      <c r="G16" s="14">
        <v>153</v>
      </c>
    </row>
    <row r="17" spans="2:7" x14ac:dyDescent="0.3">
      <c r="B17" s="58"/>
      <c r="C17" s="58"/>
      <c r="F17" s="14" t="s">
        <v>31</v>
      </c>
      <c r="G17" s="14">
        <v>133</v>
      </c>
    </row>
    <row r="18" spans="2:7" x14ac:dyDescent="0.3">
      <c r="B18" s="58"/>
      <c r="C18" s="58"/>
      <c r="F18" s="14">
        <v>169</v>
      </c>
      <c r="G18" s="14">
        <v>164</v>
      </c>
    </row>
    <row r="19" spans="2:7" x14ac:dyDescent="0.3">
      <c r="B19" s="58"/>
      <c r="C19" s="58"/>
      <c r="F19" s="14">
        <v>170</v>
      </c>
      <c r="G19" s="14">
        <v>186</v>
      </c>
    </row>
    <row r="20" spans="2:7" x14ac:dyDescent="0.3">
      <c r="F20" s="14" t="s">
        <v>32</v>
      </c>
      <c r="G20" s="14">
        <v>142</v>
      </c>
    </row>
    <row r="21" spans="2:7" x14ac:dyDescent="0.3">
      <c r="F21" s="14">
        <v>171</v>
      </c>
      <c r="G21" s="14">
        <v>180</v>
      </c>
    </row>
    <row r="22" spans="2:7" x14ac:dyDescent="0.3">
      <c r="F22" s="14" t="s">
        <v>33</v>
      </c>
      <c r="G22" s="14">
        <v>179</v>
      </c>
    </row>
    <row r="23" spans="2:7" x14ac:dyDescent="0.3">
      <c r="F23" s="14" t="s">
        <v>34</v>
      </c>
      <c r="G23" s="14">
        <v>148</v>
      </c>
    </row>
    <row r="24" spans="2:7" x14ac:dyDescent="0.3">
      <c r="F24" s="14">
        <v>199</v>
      </c>
      <c r="G24" s="14">
        <v>184</v>
      </c>
    </row>
    <row r="25" spans="2:7" x14ac:dyDescent="0.3">
      <c r="F25" s="14">
        <v>200</v>
      </c>
      <c r="G25" s="14">
        <v>186</v>
      </c>
    </row>
    <row r="26" spans="2:7" x14ac:dyDescent="0.3">
      <c r="F26" s="14">
        <v>201</v>
      </c>
      <c r="G26" s="14">
        <v>185</v>
      </c>
    </row>
    <row r="27" spans="2:7" x14ac:dyDescent="0.3">
      <c r="F27" s="14">
        <v>202</v>
      </c>
      <c r="G27" s="14">
        <v>200</v>
      </c>
    </row>
    <row r="28" spans="2:7" x14ac:dyDescent="0.3">
      <c r="F28" s="14" t="s">
        <v>35</v>
      </c>
      <c r="G28" s="14">
        <v>163</v>
      </c>
    </row>
    <row r="29" spans="2:7" x14ac:dyDescent="0.3">
      <c r="F29" s="14">
        <v>203</v>
      </c>
      <c r="G29" s="14">
        <v>161</v>
      </c>
    </row>
    <row r="30" spans="2:7" x14ac:dyDescent="0.3">
      <c r="F30" s="14" t="s">
        <v>36</v>
      </c>
      <c r="G30" s="14">
        <v>141</v>
      </c>
    </row>
    <row r="31" spans="2:7" x14ac:dyDescent="0.3">
      <c r="F31" s="14">
        <v>204</v>
      </c>
      <c r="G31" s="14">
        <v>169</v>
      </c>
    </row>
    <row r="32" spans="2:7" x14ac:dyDescent="0.3">
      <c r="F32" s="14" t="s">
        <v>37</v>
      </c>
      <c r="G32" s="14">
        <v>148</v>
      </c>
    </row>
    <row r="33" spans="2:7" x14ac:dyDescent="0.3">
      <c r="F33" s="14">
        <v>205</v>
      </c>
      <c r="G33" s="14">
        <v>162</v>
      </c>
    </row>
    <row r="34" spans="2:7" x14ac:dyDescent="0.3">
      <c r="F34" s="14" t="s">
        <v>38</v>
      </c>
      <c r="G34" s="14">
        <v>132</v>
      </c>
    </row>
    <row r="35" spans="2:7" x14ac:dyDescent="0.3">
      <c r="F35" s="14">
        <v>206</v>
      </c>
      <c r="G35" s="14">
        <v>112</v>
      </c>
    </row>
    <row r="36" spans="2:7" x14ac:dyDescent="0.3">
      <c r="F36" s="14">
        <v>207</v>
      </c>
      <c r="G36" s="14">
        <v>147</v>
      </c>
    </row>
    <row r="37" spans="2:7" x14ac:dyDescent="0.3">
      <c r="F37" s="14" t="s">
        <v>39</v>
      </c>
      <c r="G37" s="14">
        <v>26</v>
      </c>
    </row>
    <row r="38" spans="2:7" x14ac:dyDescent="0.3">
      <c r="F38" s="14" t="s">
        <v>40</v>
      </c>
      <c r="G38" s="14">
        <v>11</v>
      </c>
    </row>
    <row r="39" spans="2:7" x14ac:dyDescent="0.3">
      <c r="B39" s="58"/>
      <c r="C39" s="58"/>
      <c r="F39" s="14" t="s">
        <v>41</v>
      </c>
      <c r="G39" s="14">
        <v>36</v>
      </c>
    </row>
    <row r="40" spans="2:7" x14ac:dyDescent="0.3">
      <c r="B40" s="58"/>
      <c r="C40" s="58"/>
      <c r="F40" s="14" t="s">
        <v>42</v>
      </c>
      <c r="G40" s="14">
        <v>70</v>
      </c>
    </row>
    <row r="41" spans="2:7" x14ac:dyDescent="0.3">
      <c r="B41" s="58"/>
      <c r="C41" s="58"/>
      <c r="F41" s="14" t="s">
        <v>43</v>
      </c>
      <c r="G41" s="14">
        <v>88</v>
      </c>
    </row>
    <row r="42" spans="2:7" x14ac:dyDescent="0.3">
      <c r="F42" s="14" t="s">
        <v>44</v>
      </c>
      <c r="G42" s="14">
        <v>63</v>
      </c>
    </row>
    <row r="43" spans="2:7" x14ac:dyDescent="0.3">
      <c r="F43" s="15" t="s">
        <v>45</v>
      </c>
      <c r="G43" s="15">
        <v>96</v>
      </c>
    </row>
    <row r="44" spans="2:7" x14ac:dyDescent="0.3">
      <c r="F44" s="11" t="s">
        <v>46</v>
      </c>
      <c r="G44" s="11">
        <v>63</v>
      </c>
    </row>
    <row r="45" spans="2:7" x14ac:dyDescent="0.3">
      <c r="F45" s="11" t="s">
        <v>47</v>
      </c>
      <c r="G45" s="11">
        <v>71</v>
      </c>
    </row>
    <row r="46" spans="2:7" x14ac:dyDescent="0.3">
      <c r="F46" s="11" t="s">
        <v>48</v>
      </c>
      <c r="G46" s="11">
        <v>105</v>
      </c>
    </row>
    <row r="47" spans="2:7" x14ac:dyDescent="0.3">
      <c r="F47" s="11" t="s">
        <v>49</v>
      </c>
      <c r="G47" s="11">
        <v>70</v>
      </c>
    </row>
    <row r="48" spans="2:7" x14ac:dyDescent="0.3">
      <c r="F48" s="11" t="s">
        <v>50</v>
      </c>
      <c r="G48" s="11">
        <v>83</v>
      </c>
    </row>
    <row r="49" spans="6:7" x14ac:dyDescent="0.3">
      <c r="F49" s="11" t="s">
        <v>51</v>
      </c>
      <c r="G49" s="11">
        <v>58</v>
      </c>
    </row>
    <row r="50" spans="6:7" x14ac:dyDescent="0.3">
      <c r="F50" s="11" t="s">
        <v>52</v>
      </c>
      <c r="G50" s="11">
        <v>138</v>
      </c>
    </row>
    <row r="51" spans="6:7" x14ac:dyDescent="0.3">
      <c r="F51" s="11" t="s">
        <v>53</v>
      </c>
      <c r="G51" s="11">
        <v>102</v>
      </c>
    </row>
    <row r="52" spans="6:7" x14ac:dyDescent="0.3">
      <c r="F52" s="11">
        <v>129</v>
      </c>
      <c r="G52" s="11">
        <v>109</v>
      </c>
    </row>
    <row r="53" spans="6:7" x14ac:dyDescent="0.3">
      <c r="F53" s="11" t="s">
        <v>54</v>
      </c>
      <c r="G53" s="11">
        <v>62</v>
      </c>
    </row>
    <row r="54" spans="6:7" x14ac:dyDescent="0.3">
      <c r="F54" s="11" t="s">
        <v>55</v>
      </c>
      <c r="G54" s="11">
        <v>100</v>
      </c>
    </row>
    <row r="55" spans="6:7" x14ac:dyDescent="0.3">
      <c r="F55" s="11" t="s">
        <v>56</v>
      </c>
      <c r="G55" s="11">
        <v>31</v>
      </c>
    </row>
    <row r="56" spans="6:7" x14ac:dyDescent="0.3">
      <c r="F56" s="11" t="s">
        <v>57</v>
      </c>
      <c r="G56" s="11">
        <v>11</v>
      </c>
    </row>
    <row r="57" spans="6:7" x14ac:dyDescent="0.3">
      <c r="F57" s="11" t="s">
        <v>58</v>
      </c>
      <c r="G57" s="11">
        <v>9</v>
      </c>
    </row>
    <row r="58" spans="6:7" x14ac:dyDescent="0.3">
      <c r="F58" s="11" t="s">
        <v>59</v>
      </c>
      <c r="G58" s="11">
        <v>16</v>
      </c>
    </row>
    <row r="59" spans="6:7" x14ac:dyDescent="0.3">
      <c r="F59" s="11" t="s">
        <v>60</v>
      </c>
      <c r="G59" s="11">
        <v>13</v>
      </c>
    </row>
    <row r="60" spans="6:7" x14ac:dyDescent="0.3">
      <c r="F60" s="11" t="s">
        <v>61</v>
      </c>
      <c r="G60" s="11">
        <v>74</v>
      </c>
    </row>
    <row r="61" spans="6:7" x14ac:dyDescent="0.3">
      <c r="F61" s="11" t="s">
        <v>62</v>
      </c>
      <c r="G61" s="11">
        <v>33</v>
      </c>
    </row>
    <row r="62" spans="6:7" x14ac:dyDescent="0.3">
      <c r="F62" s="11" t="s">
        <v>63</v>
      </c>
      <c r="G62" s="11">
        <v>23</v>
      </c>
    </row>
    <row r="63" spans="6:7" x14ac:dyDescent="0.3">
      <c r="F63" s="11"/>
      <c r="G63" s="11"/>
    </row>
    <row r="64" spans="6:7" x14ac:dyDescent="0.3">
      <c r="F64" s="11"/>
      <c r="G64" s="11"/>
    </row>
    <row r="65" spans="6:7" x14ac:dyDescent="0.3">
      <c r="F65" s="11"/>
      <c r="G65" s="11"/>
    </row>
    <row r="66" spans="6:7" x14ac:dyDescent="0.3">
      <c r="F66" s="11"/>
      <c r="G66" s="11"/>
    </row>
    <row r="67" spans="6:7" x14ac:dyDescent="0.3">
      <c r="F67" s="11"/>
      <c r="G67" s="11"/>
    </row>
    <row r="68" spans="6:7" x14ac:dyDescent="0.3">
      <c r="F68" s="11"/>
      <c r="G68" s="11"/>
    </row>
    <row r="69" spans="6:7" x14ac:dyDescent="0.3">
      <c r="F69" s="11"/>
      <c r="G69" s="11"/>
    </row>
    <row r="70" spans="6:7" x14ac:dyDescent="0.3">
      <c r="F70" s="11"/>
      <c r="G70" s="11"/>
    </row>
    <row r="71" spans="6:7" x14ac:dyDescent="0.3">
      <c r="F71" s="11"/>
      <c r="G71" s="11"/>
    </row>
    <row r="72" spans="6:7" x14ac:dyDescent="0.3">
      <c r="F72" s="11"/>
      <c r="G72" s="11"/>
    </row>
    <row r="73" spans="6:7" x14ac:dyDescent="0.3">
      <c r="F73" s="11"/>
      <c r="G73" s="11"/>
    </row>
    <row r="74" spans="6:7" x14ac:dyDescent="0.3">
      <c r="F74" s="11"/>
      <c r="G74" s="11"/>
    </row>
    <row r="75" spans="6:7" x14ac:dyDescent="0.3">
      <c r="F75" s="11"/>
      <c r="G75" s="11"/>
    </row>
    <row r="76" spans="6:7" x14ac:dyDescent="0.3">
      <c r="F76" s="11"/>
      <c r="G76" s="11"/>
    </row>
    <row r="77" spans="6:7" x14ac:dyDescent="0.3">
      <c r="F77" s="11"/>
      <c r="G77" s="11"/>
    </row>
    <row r="78" spans="6:7" x14ac:dyDescent="0.3">
      <c r="F78" s="11"/>
      <c r="G78" s="11"/>
    </row>
    <row r="79" spans="6:7" x14ac:dyDescent="0.3">
      <c r="F79" s="11"/>
      <c r="G79" s="11"/>
    </row>
    <row r="80" spans="6:7" x14ac:dyDescent="0.3">
      <c r="F80" s="19"/>
      <c r="G80" s="19"/>
    </row>
    <row r="81" spans="6:7" x14ac:dyDescent="0.3">
      <c r="F81" s="20"/>
      <c r="G81" s="20"/>
    </row>
    <row r="82" spans="6:7" x14ac:dyDescent="0.3">
      <c r="F82" s="20"/>
      <c r="G82" s="20"/>
    </row>
    <row r="83" spans="6:7" x14ac:dyDescent="0.3">
      <c r="F83" s="20"/>
      <c r="G83" s="20"/>
    </row>
    <row r="84" spans="6:7" x14ac:dyDescent="0.3">
      <c r="F84" s="20"/>
      <c r="G84" s="20"/>
    </row>
    <row r="85" spans="6:7" x14ac:dyDescent="0.3">
      <c r="F85" s="20"/>
      <c r="G85" s="20"/>
    </row>
    <row r="86" spans="6:7" x14ac:dyDescent="0.3">
      <c r="F86" s="20"/>
      <c r="G86" s="20"/>
    </row>
    <row r="87" spans="6:7" x14ac:dyDescent="0.3">
      <c r="F87" s="20"/>
      <c r="G87" s="20"/>
    </row>
    <row r="88" spans="6:7" x14ac:dyDescent="0.3">
      <c r="F88" s="20"/>
      <c r="G88" s="20"/>
    </row>
    <row r="89" spans="6:7" x14ac:dyDescent="0.3">
      <c r="F89" s="20"/>
      <c r="G89" s="20"/>
    </row>
    <row r="90" spans="6:7" x14ac:dyDescent="0.3">
      <c r="F90" s="20"/>
      <c r="G90" s="20"/>
    </row>
    <row r="91" spans="6:7" x14ac:dyDescent="0.3">
      <c r="F91" s="20"/>
      <c r="G91" s="20"/>
    </row>
    <row r="92" spans="6:7" x14ac:dyDescent="0.3">
      <c r="F92" s="20"/>
      <c r="G92" s="20"/>
    </row>
    <row r="93" spans="6:7" x14ac:dyDescent="0.3">
      <c r="F93" s="20"/>
      <c r="G93" s="20"/>
    </row>
    <row r="94" spans="6:7" x14ac:dyDescent="0.3">
      <c r="F94" s="20"/>
      <c r="G94" s="20"/>
    </row>
    <row r="95" spans="6:7" x14ac:dyDescent="0.3">
      <c r="F95" s="20"/>
      <c r="G95" s="20"/>
    </row>
    <row r="96" spans="6:7" x14ac:dyDescent="0.3">
      <c r="F96" s="20"/>
      <c r="G96" s="20"/>
    </row>
    <row r="97" spans="6:7" x14ac:dyDescent="0.3">
      <c r="F97" s="20"/>
      <c r="G97" s="20"/>
    </row>
    <row r="98" spans="6:7" x14ac:dyDescent="0.3">
      <c r="F98" s="20"/>
      <c r="G98" s="20"/>
    </row>
    <row r="99" spans="6:7" x14ac:dyDescent="0.3">
      <c r="F99" s="20"/>
      <c r="G99" s="20"/>
    </row>
    <row r="100" spans="6:7" x14ac:dyDescent="0.3">
      <c r="F100" s="20"/>
      <c r="G100" s="20"/>
    </row>
    <row r="101" spans="6:7" x14ac:dyDescent="0.3">
      <c r="F101" s="20"/>
      <c r="G101" s="20"/>
    </row>
    <row r="102" spans="6:7" x14ac:dyDescent="0.3">
      <c r="F102" s="20"/>
      <c r="G102" s="20"/>
    </row>
    <row r="103" spans="6:7" x14ac:dyDescent="0.3">
      <c r="F103" s="20"/>
      <c r="G103" s="20"/>
    </row>
    <row r="104" spans="6:7" x14ac:dyDescent="0.3">
      <c r="F104" s="20"/>
      <c r="G104" s="20"/>
    </row>
    <row r="105" spans="6:7" x14ac:dyDescent="0.3">
      <c r="F105" s="20"/>
      <c r="G105" s="20"/>
    </row>
    <row r="106" spans="6:7" x14ac:dyDescent="0.3">
      <c r="F106" s="20"/>
      <c r="G106" s="20"/>
    </row>
    <row r="107" spans="6:7" x14ac:dyDescent="0.3">
      <c r="F107" s="20"/>
      <c r="G107" s="20"/>
    </row>
    <row r="108" spans="6:7" x14ac:dyDescent="0.3">
      <c r="F108" s="20"/>
      <c r="G108" s="20"/>
    </row>
    <row r="109" spans="6:7" x14ac:dyDescent="0.3">
      <c r="F109" s="20"/>
      <c r="G109" s="20"/>
    </row>
    <row r="110" spans="6:7" x14ac:dyDescent="0.3">
      <c r="F110" s="20"/>
      <c r="G110" s="20"/>
    </row>
    <row r="111" spans="6:7" x14ac:dyDescent="0.3">
      <c r="F111" s="20"/>
      <c r="G111" s="20"/>
    </row>
    <row r="112" spans="6:7" x14ac:dyDescent="0.3">
      <c r="F112" s="20"/>
      <c r="G112" s="20"/>
    </row>
    <row r="113" spans="6:7" x14ac:dyDescent="0.3">
      <c r="F113" s="20"/>
      <c r="G113" s="20"/>
    </row>
    <row r="114" spans="6:7" x14ac:dyDescent="0.3">
      <c r="F114" s="20"/>
      <c r="G114" s="20"/>
    </row>
    <row r="115" spans="6:7" x14ac:dyDescent="0.3">
      <c r="F115" s="20"/>
      <c r="G115" s="20"/>
    </row>
    <row r="116" spans="6:7" x14ac:dyDescent="0.3">
      <c r="F116" s="20"/>
      <c r="G116" s="20"/>
    </row>
    <row r="117" spans="6:7" x14ac:dyDescent="0.3">
      <c r="F117" s="20"/>
      <c r="G117" s="20"/>
    </row>
    <row r="118" spans="6:7" x14ac:dyDescent="0.3">
      <c r="F118" s="20"/>
      <c r="G118" s="20"/>
    </row>
    <row r="119" spans="6:7" x14ac:dyDescent="0.3">
      <c r="F119" s="20"/>
      <c r="G119" s="20"/>
    </row>
    <row r="120" spans="6:7" x14ac:dyDescent="0.3">
      <c r="F120" s="20"/>
      <c r="G120" s="20"/>
    </row>
    <row r="121" spans="6:7" x14ac:dyDescent="0.3">
      <c r="F121" s="20"/>
      <c r="G121" s="20"/>
    </row>
    <row r="122" spans="6:7" x14ac:dyDescent="0.3">
      <c r="F122" s="20"/>
      <c r="G122" s="20"/>
    </row>
    <row r="123" spans="6:7" x14ac:dyDescent="0.3">
      <c r="F123" s="20"/>
      <c r="G123" s="20"/>
    </row>
    <row r="124" spans="6:7" x14ac:dyDescent="0.3">
      <c r="F124" s="20"/>
      <c r="G124" s="20"/>
    </row>
    <row r="125" spans="6:7" x14ac:dyDescent="0.3">
      <c r="F125" s="20"/>
      <c r="G125" s="20"/>
    </row>
    <row r="126" spans="6:7" x14ac:dyDescent="0.3">
      <c r="F126" s="20"/>
      <c r="G126" s="20"/>
    </row>
    <row r="127" spans="6:7" x14ac:dyDescent="0.3">
      <c r="F127" s="20"/>
      <c r="G127" s="20"/>
    </row>
    <row r="128" spans="6:7" x14ac:dyDescent="0.3">
      <c r="F128" s="20"/>
      <c r="G128" s="20"/>
    </row>
    <row r="129" spans="6:7" x14ac:dyDescent="0.3">
      <c r="F129" s="20"/>
      <c r="G129" s="20"/>
    </row>
    <row r="130" spans="6:7" x14ac:dyDescent="0.3">
      <c r="F130" s="20"/>
      <c r="G130" s="20"/>
    </row>
    <row r="131" spans="6:7" x14ac:dyDescent="0.3">
      <c r="F131" s="20"/>
      <c r="G131" s="20"/>
    </row>
    <row r="132" spans="6:7" x14ac:dyDescent="0.3">
      <c r="F132" s="20"/>
      <c r="G132" s="20"/>
    </row>
    <row r="133" spans="6:7" x14ac:dyDescent="0.3">
      <c r="F133" s="20"/>
      <c r="G133" s="20"/>
    </row>
    <row r="134" spans="6:7" x14ac:dyDescent="0.3">
      <c r="F134" s="20"/>
      <c r="G134" s="20"/>
    </row>
    <row r="135" spans="6:7" x14ac:dyDescent="0.3">
      <c r="F135" s="20"/>
      <c r="G135" s="20"/>
    </row>
    <row r="136" spans="6:7" x14ac:dyDescent="0.3">
      <c r="F136" s="20"/>
      <c r="G136" s="20"/>
    </row>
    <row r="137" spans="6:7" x14ac:dyDescent="0.3">
      <c r="F137" s="20"/>
      <c r="G137" s="20"/>
    </row>
    <row r="138" spans="6:7" x14ac:dyDescent="0.3">
      <c r="F138" s="20"/>
      <c r="G138" s="20"/>
    </row>
    <row r="139" spans="6:7" x14ac:dyDescent="0.3">
      <c r="F139" s="20"/>
      <c r="G139" s="20"/>
    </row>
    <row r="140" spans="6:7" x14ac:dyDescent="0.3">
      <c r="F140" s="20"/>
      <c r="G140" s="20"/>
    </row>
    <row r="141" spans="6:7" x14ac:dyDescent="0.3">
      <c r="F141" s="20"/>
      <c r="G141" s="20"/>
    </row>
    <row r="142" spans="6:7" x14ac:dyDescent="0.3">
      <c r="F142" s="20"/>
      <c r="G142" s="20"/>
    </row>
    <row r="143" spans="6:7" x14ac:dyDescent="0.3">
      <c r="F143" s="20"/>
      <c r="G143" s="20"/>
    </row>
    <row r="144" spans="6:7" x14ac:dyDescent="0.3">
      <c r="F144" s="20"/>
      <c r="G144" s="20"/>
    </row>
    <row r="145" spans="6:7" x14ac:dyDescent="0.3">
      <c r="F145" s="20"/>
      <c r="G145" s="20"/>
    </row>
    <row r="146" spans="6:7" x14ac:dyDescent="0.3">
      <c r="F146" s="20"/>
      <c r="G146" s="20"/>
    </row>
    <row r="147" spans="6:7" x14ac:dyDescent="0.3">
      <c r="F147" s="20"/>
      <c r="G147" s="20"/>
    </row>
    <row r="148" spans="6:7" x14ac:dyDescent="0.3">
      <c r="F148" s="20"/>
      <c r="G148" s="20"/>
    </row>
    <row r="149" spans="6:7" x14ac:dyDescent="0.3">
      <c r="F149" s="20"/>
      <c r="G149" s="20"/>
    </row>
    <row r="150" spans="6:7" x14ac:dyDescent="0.3">
      <c r="F150" s="20"/>
      <c r="G150" s="20"/>
    </row>
    <row r="151" spans="6:7" x14ac:dyDescent="0.3">
      <c r="F151" s="20"/>
      <c r="G151" s="20"/>
    </row>
    <row r="152" spans="6:7" x14ac:dyDescent="0.3">
      <c r="F152" s="20"/>
      <c r="G152" s="20"/>
    </row>
    <row r="153" spans="6:7" x14ac:dyDescent="0.3">
      <c r="F153" s="20"/>
      <c r="G153" s="20"/>
    </row>
    <row r="154" spans="6:7" x14ac:dyDescent="0.3">
      <c r="F154" s="20"/>
      <c r="G154" s="20"/>
    </row>
    <row r="155" spans="6:7" x14ac:dyDescent="0.3">
      <c r="F155" s="20"/>
      <c r="G155" s="20"/>
    </row>
    <row r="156" spans="6:7" x14ac:dyDescent="0.3">
      <c r="F156" s="20"/>
      <c r="G156" s="20"/>
    </row>
    <row r="157" spans="6:7" x14ac:dyDescent="0.3">
      <c r="F157" s="20"/>
      <c r="G157" s="20"/>
    </row>
    <row r="158" spans="6:7" x14ac:dyDescent="0.3">
      <c r="F158" s="20"/>
      <c r="G158" s="20"/>
    </row>
    <row r="159" spans="6:7" x14ac:dyDescent="0.3">
      <c r="F159" s="20"/>
      <c r="G159" s="20"/>
    </row>
    <row r="160" spans="6:7" x14ac:dyDescent="0.3">
      <c r="F160" s="20"/>
      <c r="G160" s="20"/>
    </row>
    <row r="161" spans="6:7" x14ac:dyDescent="0.3">
      <c r="F161" s="20"/>
      <c r="G161" s="20"/>
    </row>
    <row r="162" spans="6:7" x14ac:dyDescent="0.3">
      <c r="F162" s="20"/>
      <c r="G162" s="20"/>
    </row>
    <row r="163" spans="6:7" x14ac:dyDescent="0.3">
      <c r="F163" s="20"/>
      <c r="G163" s="20"/>
    </row>
    <row r="164" spans="6:7" x14ac:dyDescent="0.3">
      <c r="F164" s="20"/>
      <c r="G164" s="20"/>
    </row>
    <row r="165" spans="6:7" x14ac:dyDescent="0.3">
      <c r="F165" s="20"/>
      <c r="G165" s="20"/>
    </row>
    <row r="166" spans="6:7" x14ac:dyDescent="0.3">
      <c r="F166" s="12"/>
      <c r="G166" s="12"/>
    </row>
  </sheetData>
  <mergeCells count="3">
    <mergeCell ref="B1:C3"/>
    <mergeCell ref="B17:C19"/>
    <mergeCell ref="B39:C4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Q404"/>
  <sheetViews>
    <sheetView showGridLines="0" zoomScale="55" zoomScaleNormal="55" workbookViewId="0">
      <pane xSplit="8" ySplit="25" topLeftCell="AC378" activePane="bottomRight" state="frozen"/>
      <selection pane="topRight" activeCell="H1" sqref="H1"/>
      <selection pane="bottomLeft" activeCell="A15" sqref="A15"/>
      <selection pane="bottomRight" activeCell="AQ404" sqref="AQ404"/>
    </sheetView>
  </sheetViews>
  <sheetFormatPr baseColWidth="10" defaultColWidth="11.44140625" defaultRowHeight="15" customHeight="1" x14ac:dyDescent="0.3"/>
  <cols>
    <col min="1" max="1" width="8.33203125" style="30" customWidth="1"/>
    <col min="2" max="2" width="9.33203125" style="12" customWidth="1"/>
    <col min="4" max="4" width="12.44140625" customWidth="1"/>
    <col min="5" max="5" width="16.88671875" style="1" customWidth="1"/>
    <col min="6" max="6" width="21.109375" customWidth="1"/>
    <col min="7" max="7" width="15.109375" bestFit="1" customWidth="1"/>
    <col min="8" max="8" width="19.33203125" customWidth="1"/>
    <col min="9" max="9" width="16.109375" customWidth="1"/>
    <col min="10" max="10" width="15.5546875" customWidth="1"/>
    <col min="11" max="11" width="17.33203125" customWidth="1"/>
    <col min="12" max="12" width="14.88671875" customWidth="1"/>
    <col min="13" max="13" width="14" customWidth="1"/>
    <col min="14" max="14" width="14.109375" customWidth="1"/>
    <col min="15" max="16" width="18.109375" customWidth="1"/>
    <col min="17" max="17" width="17.88671875" style="17" customWidth="1"/>
    <col min="18" max="18" width="20.5546875" style="17" customWidth="1"/>
    <col min="19" max="19" width="18.109375" style="17" customWidth="1"/>
    <col min="20" max="20" width="18.109375" customWidth="1"/>
    <col min="21" max="22" width="21.44140625" customWidth="1"/>
    <col min="23" max="24" width="19.88671875" customWidth="1"/>
    <col min="25" max="27" width="0" hidden="1" customWidth="1"/>
    <col min="28" max="28" width="14.109375" hidden="1" customWidth="1"/>
    <col min="31" max="31" width="14.44140625" customWidth="1"/>
    <col min="32" max="32" width="16.44140625" customWidth="1"/>
    <col min="33" max="33" width="17.88671875" hidden="1" customWidth="1"/>
    <col min="34" max="34" width="14" hidden="1" customWidth="1"/>
    <col min="35" max="36" width="17.88671875" hidden="1" customWidth="1"/>
    <col min="37" max="37" width="14.88671875" hidden="1" customWidth="1"/>
    <col min="38" max="39" width="17.88671875" hidden="1" customWidth="1"/>
    <col min="40" max="40" width="14.88671875" hidden="1" customWidth="1"/>
    <col min="41" max="41" width="17.88671875" hidden="1" customWidth="1"/>
    <col min="42" max="42" width="41" bestFit="1" customWidth="1"/>
    <col min="43" max="43" width="26.109375" customWidth="1"/>
    <col min="44" max="44" width="17.44140625" customWidth="1"/>
    <col min="45" max="45" width="19.44140625" customWidth="1"/>
  </cols>
  <sheetData>
    <row r="1" spans="1:22" ht="14.4" x14ac:dyDescent="0.3"/>
    <row r="3" spans="1:22" ht="15" customHeight="1" x14ac:dyDescent="0.3">
      <c r="Q3"/>
      <c r="R3"/>
      <c r="S3"/>
      <c r="T3" s="17"/>
      <c r="U3" s="17"/>
      <c r="V3" s="17"/>
    </row>
    <row r="4" spans="1:22" ht="16.5" customHeight="1" x14ac:dyDescent="0.3">
      <c r="A4" s="60" t="s">
        <v>64</v>
      </c>
      <c r="B4" s="60"/>
      <c r="C4" s="60"/>
      <c r="D4" s="61" t="s">
        <v>65</v>
      </c>
      <c r="E4" s="61"/>
      <c r="F4" s="61"/>
      <c r="G4" s="21">
        <f>SUMIF(Tabla6[[#All],[AÑO]],"=2024",Tabla6[[#All],[CANTIDAD]])-(SUMIF(Tabla5[[#All],[AÑO]],"=2024",Tabla5[[#All],[Detonador consumido (Fametronic)]]))</f>
        <v>1470</v>
      </c>
      <c r="H4" s="2" t="s">
        <v>66</v>
      </c>
      <c r="I4" s="4" t="s">
        <v>67</v>
      </c>
      <c r="J4" s="4" t="s">
        <v>68</v>
      </c>
      <c r="N4" s="25"/>
      <c r="Q4"/>
      <c r="R4"/>
      <c r="S4"/>
      <c r="T4" s="17"/>
      <c r="U4" s="17"/>
      <c r="V4" s="17"/>
    </row>
    <row r="5" spans="1:22" ht="16.5" customHeight="1" x14ac:dyDescent="0.3">
      <c r="A5" s="60"/>
      <c r="B5" s="60"/>
      <c r="C5" s="60"/>
      <c r="D5" s="2" t="s">
        <v>69</v>
      </c>
      <c r="E5" s="3"/>
      <c r="F5" s="2"/>
      <c r="G5" s="21">
        <f>J8</f>
        <v>0</v>
      </c>
      <c r="H5" s="2" t="s">
        <v>66</v>
      </c>
      <c r="I5" s="5" t="s">
        <v>70</v>
      </c>
      <c r="J5" s="7">
        <f>INGRESO!C34-SUM(INGRESO!F34:F39)</f>
        <v>0</v>
      </c>
      <c r="Q5"/>
      <c r="R5"/>
      <c r="S5"/>
      <c r="T5" s="17"/>
      <c r="U5" s="17"/>
      <c r="V5" s="17"/>
    </row>
    <row r="6" spans="1:22" ht="16.5" customHeight="1" x14ac:dyDescent="0.3">
      <c r="A6" s="60"/>
      <c r="B6" s="60"/>
      <c r="C6" s="60"/>
      <c r="D6" s="2" t="s">
        <v>71</v>
      </c>
      <c r="E6" s="3"/>
      <c r="F6" s="2"/>
      <c r="G6" s="21">
        <f>+J7</f>
        <v>3246</v>
      </c>
      <c r="H6" s="2" t="s">
        <v>66</v>
      </c>
      <c r="I6" s="6" t="s">
        <v>72</v>
      </c>
      <c r="J6" s="8">
        <f>G4-J5</f>
        <v>1470</v>
      </c>
      <c r="Q6"/>
      <c r="R6"/>
      <c r="S6"/>
      <c r="T6" s="17"/>
      <c r="U6" s="17"/>
      <c r="V6" s="17"/>
    </row>
    <row r="7" spans="1:22" ht="16.5" customHeight="1" x14ac:dyDescent="0.3">
      <c r="A7" s="60"/>
      <c r="B7" s="60"/>
      <c r="C7" s="60"/>
      <c r="D7" s="62" t="s">
        <v>73</v>
      </c>
      <c r="E7" s="62"/>
      <c r="F7" s="62"/>
      <c r="G7" s="22">
        <f>SUM(INGRESO!J5:J42)-SUM(Tabla5[Cable Jumper (m)2x20 - Fametronic])</f>
        <v>3400</v>
      </c>
      <c r="H7" s="24">
        <f>G7/200</f>
        <v>17</v>
      </c>
      <c r="I7" t="s">
        <v>74</v>
      </c>
      <c r="J7" s="8">
        <f>+SUM('INGRESO DIGI'!C5:C16)-SUM('INGRESO DIGI'!G5:G165)</f>
        <v>3246</v>
      </c>
      <c r="Q7"/>
      <c r="R7"/>
      <c r="S7" s="25"/>
      <c r="T7" s="17"/>
      <c r="U7" s="17"/>
      <c r="V7" s="17"/>
    </row>
    <row r="8" spans="1:22" ht="16.5" customHeight="1" x14ac:dyDescent="0.3">
      <c r="A8" s="60"/>
      <c r="B8" s="60"/>
      <c r="C8" s="60"/>
      <c r="D8" s="62" t="s">
        <v>75</v>
      </c>
      <c r="E8" s="62"/>
      <c r="F8" s="62"/>
      <c r="G8" s="35">
        <f>SUM('INGRESO - INTELLISHOT'!L4:L41)-SUM(X26:X404)</f>
        <v>0</v>
      </c>
      <c r="H8" s="24">
        <f>G8/200</f>
        <v>0</v>
      </c>
      <c r="I8" s="6" t="s">
        <v>76</v>
      </c>
      <c r="J8" s="8">
        <f>SUM('INGRESO - INTELLISHOT'!C5:C11)-SUM('INGRESO - INTELLISHOT'!G5:G166)</f>
        <v>0</v>
      </c>
      <c r="Q8"/>
      <c r="R8"/>
      <c r="S8"/>
      <c r="T8" s="17"/>
      <c r="U8" s="17"/>
      <c r="V8" s="17"/>
    </row>
    <row r="9" spans="1:22" ht="16.5" customHeight="1" x14ac:dyDescent="0.3">
      <c r="A9" s="60"/>
      <c r="B9" s="60"/>
      <c r="C9" s="60"/>
      <c r="D9" s="62" t="s">
        <v>77</v>
      </c>
      <c r="E9" s="62"/>
      <c r="F9" s="62"/>
      <c r="G9" s="22">
        <f>SUMIF(Tabla7[[#All],[AÑO]],"=2024",Tabla7[[#All],[CONDON DETONANTE 5P  (mts)]])-(SUMIF(Tabla5[[#All],[AÑO]],"=2024",Tabla5[[#All],[Cordon Detonante 5P  (mts)]]))</f>
        <v>4596</v>
      </c>
      <c r="H9" s="9" t="s">
        <v>78</v>
      </c>
      <c r="I9" s="17"/>
      <c r="J9" s="34"/>
      <c r="Q9"/>
      <c r="T9" s="17"/>
    </row>
    <row r="10" spans="1:22" ht="12.75" customHeight="1" x14ac:dyDescent="0.3">
      <c r="A10" s="60"/>
      <c r="B10" s="60"/>
      <c r="C10" s="60"/>
      <c r="D10" s="63" t="s">
        <v>79</v>
      </c>
      <c r="E10" s="63"/>
      <c r="F10" s="63"/>
      <c r="G10" s="22">
        <f>SUMIF(Tabla7[[#All],[AÑO]],"=2024",Tabla7[[#All],[EMULSIÓN 500 1 ¼ 12” (KG)]])-(SUMIF(Tabla5[[#All],[AÑO]],"=2024",Tabla5[[#All],[EMULSIÓN 500                 1 ¼ 12” (PZA)]]))*25/124</f>
        <v>0</v>
      </c>
      <c r="H10" s="9" t="s">
        <v>80</v>
      </c>
      <c r="Q10"/>
      <c r="T10" s="17"/>
    </row>
    <row r="11" spans="1:22" ht="12.75" customHeight="1" x14ac:dyDescent="0.3">
      <c r="A11" s="60"/>
      <c r="B11" s="60"/>
      <c r="C11" s="60"/>
      <c r="D11" s="64" t="s">
        <v>81</v>
      </c>
      <c r="E11" s="64"/>
      <c r="F11" s="64"/>
      <c r="G11" s="22">
        <f>SUMIF(Tabla7[[#All],[AÑO]],"=2024",Tabla7[[#All],[EMULSIÓN 1000 1 " 8” (KG)2]])-(SUMIF(Tabla5[[#All],[AÑO]],"=2024",Tabla5[[#All],[EMULSIÓN 1000 1" x  8” (PZA)2]]))*25/150</f>
        <v>675.87333333333345</v>
      </c>
      <c r="H11" s="9" t="s">
        <v>80</v>
      </c>
      <c r="Q11"/>
      <c r="T11" s="17"/>
    </row>
    <row r="12" spans="1:22" ht="12.75" customHeight="1" x14ac:dyDescent="0.3">
      <c r="A12" s="60"/>
      <c r="B12" s="60"/>
      <c r="C12" s="60"/>
      <c r="D12" s="64" t="s">
        <v>82</v>
      </c>
      <c r="E12" s="64"/>
      <c r="F12" s="64"/>
      <c r="G12" s="22">
        <f>SUMIF(Tabla7[[#All],[AÑO]],"=2024",Tabla7[[#All],[EMULSIÓN 1000 1 ¼ 12” (KG)]])-(SUMIF(Tabla5[[#All],[AÑO]],"=2024",Tabla5[[#All],[EMULSIÓN 1000 1 ¼x 12” (PZA)]]))*25/100</f>
        <v>4000.0000000000009</v>
      </c>
      <c r="H12" s="9" t="s">
        <v>83</v>
      </c>
      <c r="Q12"/>
      <c r="T12" s="17"/>
    </row>
    <row r="13" spans="1:22" ht="12.75" customHeight="1" x14ac:dyDescent="0.3">
      <c r="A13" s="60"/>
      <c r="B13" s="60"/>
      <c r="C13" s="60"/>
      <c r="D13" s="62" t="s">
        <v>84</v>
      </c>
      <c r="E13" s="62"/>
      <c r="F13" s="62"/>
      <c r="G13" s="22">
        <f>SUMIF(Tabla7[[#All],[AÑO]],"=2024",Tabla7[[#All],[EMULSIÓN 3000 1 ¼ 12” (KG)]])-(SUMIF(Tabla5[[#All],[AÑO]],"=2024",Tabla5[[#All],[EMULSIÓN 3000 1 ¼ 12” (PZA)]]))*25/100</f>
        <v>1436.5</v>
      </c>
      <c r="H13" s="9" t="s">
        <v>80</v>
      </c>
      <c r="Q13"/>
      <c r="T13" s="17"/>
    </row>
    <row r="14" spans="1:22" ht="12.75" customHeight="1" x14ac:dyDescent="0.3">
      <c r="A14" s="60"/>
      <c r="B14" s="60"/>
      <c r="C14" s="60"/>
      <c r="D14" s="65" t="s">
        <v>85</v>
      </c>
      <c r="E14" s="65"/>
      <c r="F14" s="65"/>
      <c r="G14" s="22">
        <f>SUMIF(Tabla7[[#All],[AÑO]],"=2024",Tabla7[[#All],[EMULSIÓN 5000 1 ¼ 12”  (KG)]])-(SUMIF(Tabla5[[#All],[AÑO]],"=2024",Tabla5[[#All],[EMULSIÓN 5000                 1 ¼ 12”  (PZA)]]))*25/94</f>
        <v>0</v>
      </c>
      <c r="H14" s="9" t="s">
        <v>80</v>
      </c>
      <c r="Q14"/>
      <c r="T14" s="17"/>
    </row>
    <row r="15" spans="1:22" ht="14.4" x14ac:dyDescent="0.3">
      <c r="A15" s="59" t="s">
        <v>86</v>
      </c>
      <c r="B15" s="59"/>
      <c r="C15" s="59"/>
      <c r="D15" s="58" t="s">
        <v>87</v>
      </c>
      <c r="E15" s="58"/>
      <c r="F15" s="58"/>
      <c r="G15" s="23">
        <f>SUMIF(Tabla5[[#All],[AÑO]],"=2024",Tabla5[[#All],[Detonador consumido (Fametronic)]])</f>
        <v>25320</v>
      </c>
      <c r="H15" s="10" t="s">
        <v>66</v>
      </c>
    </row>
    <row r="16" spans="1:22" ht="14.4" x14ac:dyDescent="0.3">
      <c r="A16" s="59"/>
      <c r="B16" s="59"/>
      <c r="C16" s="59"/>
      <c r="D16" s="58" t="s">
        <v>88</v>
      </c>
      <c r="E16" s="58"/>
      <c r="F16" s="58"/>
      <c r="G16" s="23">
        <f>SUMIF(Tabla5[[#All],[AÑO]],"=2024",Tabla5[[#All],[Detonador Consumido (Digishot) ]])</f>
        <v>6774</v>
      </c>
      <c r="H16" s="10" t="s">
        <v>66</v>
      </c>
    </row>
    <row r="17" spans="1:43" ht="14.4" x14ac:dyDescent="0.3">
      <c r="A17" s="59"/>
      <c r="B17" s="59"/>
      <c r="C17" s="59"/>
      <c r="D17" s="58" t="s">
        <v>89</v>
      </c>
      <c r="E17" s="58"/>
      <c r="F17" s="58"/>
      <c r="G17" s="23">
        <f>SUMIF(Tabla5[[#All],[AÑO]],"=2024",Tabla5[[#All],[Detonador Consumido (Intellishot) ]])</f>
        <v>18024</v>
      </c>
      <c r="H17" s="10" t="s">
        <v>66</v>
      </c>
      <c r="K17" s="25"/>
    </row>
    <row r="18" spans="1:43" ht="14.4" x14ac:dyDescent="0.3">
      <c r="A18" s="59"/>
      <c r="B18" s="59"/>
      <c r="C18" s="59"/>
      <c r="D18" s="58" t="s">
        <v>90</v>
      </c>
      <c r="E18" s="58"/>
      <c r="F18" s="58"/>
      <c r="G18" s="23">
        <f>SUMIF(Tabla5[[#All],[AÑO]],"=2024",Tabla5[[#All],[EMULSIÓN 1000 1 ¼x 12” (PZA)]])</f>
        <v>21336.12</v>
      </c>
      <c r="H18" s="10" t="s">
        <v>66</v>
      </c>
      <c r="I18" s="44">
        <f>G18*25/100</f>
        <v>5334.03</v>
      </c>
      <c r="J18" t="s">
        <v>83</v>
      </c>
      <c r="M18" s="25"/>
    </row>
    <row r="19" spans="1:43" ht="14.4" x14ac:dyDescent="0.3">
      <c r="A19" s="59"/>
      <c r="B19" s="59"/>
      <c r="C19" s="59"/>
      <c r="D19" s="58" t="s">
        <v>91</v>
      </c>
      <c r="E19" s="58"/>
      <c r="F19" s="58"/>
      <c r="G19" s="23">
        <f>SUMIF(Tabla5[[#All],[AÑO]],"=2024",Tabla5[[#All],[EMULSIÓN 1000 1" x  8” (PZA)2]])</f>
        <v>22897</v>
      </c>
      <c r="H19" s="10" t="s">
        <v>66</v>
      </c>
      <c r="I19" s="45">
        <f>G19*25/230</f>
        <v>2488.804347826087</v>
      </c>
      <c r="J19" t="s">
        <v>83</v>
      </c>
      <c r="M19" s="25"/>
    </row>
    <row r="20" spans="1:43" ht="14.4" x14ac:dyDescent="0.3">
      <c r="A20" s="59"/>
      <c r="B20" s="59"/>
      <c r="C20" s="59"/>
      <c r="D20" s="58" t="s">
        <v>92</v>
      </c>
      <c r="E20" s="58"/>
      <c r="F20" s="58"/>
      <c r="G20" s="23">
        <f>SUMIF(Tabla5[[#All],[AÑO]],"=2024",Tabla5[[#All],[EMULSIÓN 3000 1 ¼ 12” (PZA)]])</f>
        <v>203951.68</v>
      </c>
      <c r="H20" s="10" t="s">
        <v>66</v>
      </c>
      <c r="I20" s="45">
        <f>G20*25/94</f>
        <v>54242.468085106382</v>
      </c>
      <c r="J20" t="s">
        <v>83</v>
      </c>
    </row>
    <row r="21" spans="1:43" ht="14.4" x14ac:dyDescent="0.3">
      <c r="A21" s="59"/>
      <c r="B21" s="59"/>
      <c r="C21" s="59"/>
      <c r="D21" s="58" t="s">
        <v>93</v>
      </c>
      <c r="E21" s="58"/>
      <c r="F21" s="58"/>
      <c r="G21" s="23">
        <f>SUMIF(Tabla5[[#All],[AÑO]],"=2024",Tabla5[[#All],[Cordon Detonante 5P  (mts)]])</f>
        <v>21254.2</v>
      </c>
      <c r="H21" s="10" t="s">
        <v>94</v>
      </c>
    </row>
    <row r="22" spans="1:43" ht="14.4" x14ac:dyDescent="0.3">
      <c r="A22" s="59"/>
      <c r="B22" s="59"/>
      <c r="C22" s="59"/>
      <c r="D22" s="58" t="s">
        <v>95</v>
      </c>
      <c r="E22" s="58"/>
      <c r="F22" s="58"/>
      <c r="G22" s="23">
        <f>SUMIF(Tabla5[[#All],[AÑO]],"=2024",Tabla5[[#All],[Cable Jumper (m)2x20 - Fametronic]])</f>
        <v>53800</v>
      </c>
      <c r="H22" s="10" t="s">
        <v>94</v>
      </c>
    </row>
    <row r="23" spans="1:43" ht="14.4" x14ac:dyDescent="0.3">
      <c r="A23" s="59"/>
      <c r="B23" s="59"/>
      <c r="C23" s="59"/>
      <c r="D23" s="58" t="s">
        <v>96</v>
      </c>
      <c r="E23" s="58"/>
      <c r="F23" s="58"/>
      <c r="G23" s="23">
        <f>SUMIF(Tabla5[[#All],[AÑO]],"=2024",Tabla5[[#All],[Cable Jumper (m)2x22 - Intellishot]])</f>
        <v>47600</v>
      </c>
      <c r="H23" s="10" t="s">
        <v>94</v>
      </c>
    </row>
    <row r="24" spans="1:43" ht="27" customHeight="1" x14ac:dyDescent="0.3">
      <c r="A24" s="58" t="s">
        <v>97</v>
      </c>
      <c r="B24" s="58"/>
      <c r="C24" s="58"/>
      <c r="D24" s="58"/>
      <c r="E24" s="58"/>
      <c r="F24" s="58" t="s">
        <v>98</v>
      </c>
      <c r="G24" s="58"/>
      <c r="L24" s="58" t="s">
        <v>99</v>
      </c>
      <c r="M24" s="58"/>
      <c r="N24" s="58"/>
      <c r="O24" s="58"/>
      <c r="Y24" s="58" t="s">
        <v>100</v>
      </c>
      <c r="Z24" s="58"/>
      <c r="AA24" s="58"/>
      <c r="AB24" s="58"/>
      <c r="AG24" s="58" t="s">
        <v>101</v>
      </c>
      <c r="AH24" s="58"/>
      <c r="AI24" s="58"/>
      <c r="AJ24" s="58"/>
      <c r="AK24" s="58"/>
      <c r="AL24" s="58"/>
      <c r="AM24" s="58"/>
      <c r="AN24" s="58"/>
      <c r="AO24" s="58"/>
      <c r="AP24" s="58"/>
      <c r="AQ24" s="58"/>
    </row>
    <row r="25" spans="1:43" s="36" customFormat="1" ht="42" customHeight="1" x14ac:dyDescent="0.3">
      <c r="A25" s="43" t="s">
        <v>102</v>
      </c>
      <c r="B25" s="42" t="s">
        <v>103</v>
      </c>
      <c r="C25" s="36" t="s">
        <v>4</v>
      </c>
      <c r="D25" s="36" t="s">
        <v>104</v>
      </c>
      <c r="E25" s="37" t="s">
        <v>105</v>
      </c>
      <c r="F25" s="36" t="s">
        <v>106</v>
      </c>
      <c r="G25" s="36" t="s">
        <v>107</v>
      </c>
      <c r="H25" s="36" t="s">
        <v>108</v>
      </c>
      <c r="I25" s="36" t="s">
        <v>109</v>
      </c>
      <c r="J25" s="42" t="s">
        <v>110</v>
      </c>
      <c r="K25" s="36" t="s">
        <v>111</v>
      </c>
      <c r="L25" s="36" t="s">
        <v>112</v>
      </c>
      <c r="M25" s="36" t="s">
        <v>113</v>
      </c>
      <c r="N25" s="36" t="s">
        <v>114</v>
      </c>
      <c r="O25" s="36" t="s">
        <v>115</v>
      </c>
      <c r="P25" s="38" t="s">
        <v>116</v>
      </c>
      <c r="Q25" s="39" t="s">
        <v>117</v>
      </c>
      <c r="R25" s="39" t="s">
        <v>118</v>
      </c>
      <c r="S25" s="40" t="s">
        <v>119</v>
      </c>
      <c r="T25" s="41" t="s">
        <v>120</v>
      </c>
      <c r="U25" s="36" t="s">
        <v>121</v>
      </c>
      <c r="V25" s="36" t="s">
        <v>122</v>
      </c>
      <c r="W25" s="36" t="s">
        <v>123</v>
      </c>
      <c r="X25" s="36" t="s">
        <v>124</v>
      </c>
      <c r="Y25" s="36" t="s">
        <v>125</v>
      </c>
      <c r="Z25" s="36" t="s">
        <v>126</v>
      </c>
      <c r="AA25" s="36" t="s">
        <v>127</v>
      </c>
      <c r="AB25" s="36" t="s">
        <v>128</v>
      </c>
      <c r="AC25" s="36" t="s">
        <v>129</v>
      </c>
      <c r="AD25" s="36" t="s">
        <v>130</v>
      </c>
      <c r="AE25" s="36" t="s">
        <v>131</v>
      </c>
      <c r="AF25" s="36" t="s">
        <v>132</v>
      </c>
      <c r="AG25" s="36" t="s">
        <v>133</v>
      </c>
      <c r="AH25" s="36" t="s">
        <v>134</v>
      </c>
      <c r="AI25" s="36" t="s">
        <v>135</v>
      </c>
      <c r="AJ25" s="36" t="s">
        <v>136</v>
      </c>
      <c r="AK25" s="36" t="s">
        <v>137</v>
      </c>
      <c r="AL25" s="36" t="s">
        <v>138</v>
      </c>
      <c r="AM25" s="36" t="s">
        <v>139</v>
      </c>
      <c r="AN25" s="36" t="s">
        <v>140</v>
      </c>
      <c r="AO25" s="36" t="s">
        <v>141</v>
      </c>
      <c r="AP25" s="36" t="s">
        <v>142</v>
      </c>
      <c r="AQ25" s="36" t="s">
        <v>143</v>
      </c>
    </row>
    <row r="26" spans="1:43" ht="14.4" x14ac:dyDescent="0.3">
      <c r="A26" s="30">
        <v>1</v>
      </c>
      <c r="B26" s="12" t="s">
        <v>144</v>
      </c>
      <c r="C26">
        <v>2024</v>
      </c>
      <c r="D26" t="s">
        <v>145</v>
      </c>
      <c r="E26" s="16">
        <v>45369</v>
      </c>
      <c r="F26" t="s">
        <v>146</v>
      </c>
      <c r="G26">
        <v>1</v>
      </c>
      <c r="H26">
        <f>I26</f>
        <v>9</v>
      </c>
      <c r="I26">
        <f>+Tabla5[[#This Row],[N°TOTAL TALADROS CARGADOS]]</f>
        <v>9</v>
      </c>
      <c r="L26">
        <v>9</v>
      </c>
      <c r="M26">
        <v>0</v>
      </c>
      <c r="N26">
        <v>0</v>
      </c>
      <c r="O26">
        <f>Tabla5[[#This Row],[Taladros Simples]]+Tabla5[[#This Row],[Taladros Dobles]]+Tabla5[[#This Row],[Taladros Triples]]</f>
        <v>9</v>
      </c>
      <c r="S26" s="17">
        <v>15</v>
      </c>
      <c r="U26" t="s">
        <v>147</v>
      </c>
      <c r="V26">
        <v>0</v>
      </c>
      <c r="W26">
        <v>200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0.3</v>
      </c>
      <c r="AF26" t="e">
        <f>-#REF!</f>
        <v>#REF!</v>
      </c>
      <c r="AG26">
        <v>2.61</v>
      </c>
      <c r="AH26">
        <v>36</v>
      </c>
      <c r="AI26">
        <v>2.98</v>
      </c>
      <c r="AJ26">
        <v>1.1100000000000001</v>
      </c>
      <c r="AK26">
        <v>61</v>
      </c>
      <c r="AL26">
        <v>0.4</v>
      </c>
      <c r="AP26" t="str">
        <f t="shared" ref="AP26:AP37" si="0">CONCATENATE(F26,"-","Vol"," ",G26)</f>
        <v>Galería 01-Vol 1</v>
      </c>
      <c r="AQ26" t="s">
        <v>148</v>
      </c>
    </row>
    <row r="27" spans="1:43" ht="14.4" x14ac:dyDescent="0.3">
      <c r="A27" s="30">
        <v>2</v>
      </c>
      <c r="B27" s="12" t="s">
        <v>144</v>
      </c>
      <c r="C27">
        <v>2024</v>
      </c>
      <c r="D27" t="s">
        <v>145</v>
      </c>
      <c r="E27" s="16">
        <v>45371</v>
      </c>
      <c r="F27" t="s">
        <v>146</v>
      </c>
      <c r="G27">
        <v>2</v>
      </c>
      <c r="H27">
        <f>I27</f>
        <v>18</v>
      </c>
      <c r="I27">
        <f>+Tabla5[[#This Row],[N°TOTAL TALADROS CARGADOS]]</f>
        <v>18</v>
      </c>
      <c r="L27">
        <v>18</v>
      </c>
      <c r="M27">
        <v>0</v>
      </c>
      <c r="N27">
        <v>0</v>
      </c>
      <c r="O27">
        <f>Tabla5[[#This Row],[Taladros Simples]]+Tabla5[[#This Row],[Taladros Dobles]]+Tabla5[[#This Row],[Taladros Triples]]</f>
        <v>18</v>
      </c>
      <c r="S27" s="17">
        <v>30</v>
      </c>
      <c r="U27" t="s">
        <v>147</v>
      </c>
      <c r="V27">
        <v>0</v>
      </c>
      <c r="W27">
        <v>200</v>
      </c>
      <c r="Y27">
        <v>0</v>
      </c>
      <c r="Z27">
        <v>0</v>
      </c>
      <c r="AA27">
        <v>0</v>
      </c>
      <c r="AB27">
        <v>0</v>
      </c>
      <c r="AE27">
        <v>0.32</v>
      </c>
      <c r="AF27">
        <f>-AI4</f>
        <v>0</v>
      </c>
      <c r="AP27" t="str">
        <f t="shared" si="0"/>
        <v>Galería 01-Vol 2</v>
      </c>
      <c r="AQ27" t="s">
        <v>148</v>
      </c>
    </row>
    <row r="28" spans="1:43" ht="14.4" x14ac:dyDescent="0.3">
      <c r="A28" s="30">
        <v>3</v>
      </c>
      <c r="B28" s="12" t="s">
        <v>144</v>
      </c>
      <c r="C28">
        <v>2024</v>
      </c>
      <c r="D28" t="s">
        <v>145</v>
      </c>
      <c r="E28" s="16">
        <v>45375</v>
      </c>
      <c r="F28" t="s">
        <v>146</v>
      </c>
      <c r="G28">
        <v>3</v>
      </c>
      <c r="H28">
        <f t="shared" ref="H28:H91" si="1">I28</f>
        <v>49</v>
      </c>
      <c r="I28">
        <f>+Tabla5[[#This Row],[N°TOTAL TALADROS CARGADOS]]</f>
        <v>49</v>
      </c>
      <c r="L28">
        <v>49</v>
      </c>
      <c r="M28">
        <v>0</v>
      </c>
      <c r="N28">
        <v>0</v>
      </c>
      <c r="O28">
        <f>Tabla5[[#This Row],[Taladros Simples]]+Tabla5[[#This Row],[Taladros Dobles]]+Tabla5[[#This Row],[Taladros Triples]]</f>
        <v>49</v>
      </c>
      <c r="S28" s="17">
        <v>92</v>
      </c>
      <c r="U28" t="s">
        <v>147</v>
      </c>
      <c r="V28">
        <v>0</v>
      </c>
      <c r="W28">
        <v>200</v>
      </c>
      <c r="Y28">
        <v>0</v>
      </c>
      <c r="Z28">
        <v>0</v>
      </c>
      <c r="AA28">
        <v>0</v>
      </c>
      <c r="AB28">
        <v>0</v>
      </c>
      <c r="AF28">
        <f>-AI7</f>
        <v>0</v>
      </c>
      <c r="AP28" t="str">
        <f t="shared" si="0"/>
        <v>Galería 01-Vol 3</v>
      </c>
      <c r="AQ28" t="s">
        <v>148</v>
      </c>
    </row>
    <row r="29" spans="1:43" ht="14.4" x14ac:dyDescent="0.3">
      <c r="A29" s="30">
        <v>4</v>
      </c>
      <c r="B29" s="12" t="s">
        <v>144</v>
      </c>
      <c r="C29">
        <v>2024</v>
      </c>
      <c r="D29" t="s">
        <v>145</v>
      </c>
      <c r="E29" s="16">
        <v>45377</v>
      </c>
      <c r="F29" t="s">
        <v>149</v>
      </c>
      <c r="G29">
        <v>4</v>
      </c>
      <c r="H29">
        <f t="shared" si="1"/>
        <v>137</v>
      </c>
      <c r="I29">
        <f>+Tabla5[[#This Row],[N°TOTAL TALADROS CARGADOS]]</f>
        <v>137</v>
      </c>
      <c r="L29">
        <v>137</v>
      </c>
      <c r="M29">
        <v>0</v>
      </c>
      <c r="N29">
        <v>0</v>
      </c>
      <c r="O29">
        <f>Tabla5[[#This Row],[Taladros Simples]]+Tabla5[[#This Row],[Taladros Dobles]]+Tabla5[[#This Row],[Taladros Triples]]</f>
        <v>137</v>
      </c>
      <c r="S29" s="17">
        <v>381</v>
      </c>
      <c r="U29" t="s">
        <v>150</v>
      </c>
      <c r="V29">
        <v>35</v>
      </c>
      <c r="W29">
        <v>200</v>
      </c>
      <c r="Y29">
        <v>0</v>
      </c>
      <c r="Z29">
        <v>0</v>
      </c>
      <c r="AA29">
        <v>0</v>
      </c>
      <c r="AB29">
        <v>0</v>
      </c>
      <c r="AE29">
        <v>2.35</v>
      </c>
      <c r="AF29" t="e">
        <f>-#REF!</f>
        <v>#REF!</v>
      </c>
      <c r="AP29" t="str">
        <f t="shared" si="0"/>
        <v>GAL 01 y GAL 02-Vol 4</v>
      </c>
      <c r="AQ29" t="s">
        <v>148</v>
      </c>
    </row>
    <row r="30" spans="1:43" ht="14.4" x14ac:dyDescent="0.3">
      <c r="A30" s="30">
        <v>5</v>
      </c>
      <c r="B30" s="12" t="s">
        <v>144</v>
      </c>
      <c r="C30">
        <v>2024</v>
      </c>
      <c r="D30" t="s">
        <v>145</v>
      </c>
      <c r="E30" s="16">
        <v>45378</v>
      </c>
      <c r="F30" t="s">
        <v>149</v>
      </c>
      <c r="G30">
        <v>5</v>
      </c>
      <c r="H30">
        <f t="shared" si="1"/>
        <v>122</v>
      </c>
      <c r="I30">
        <f>+Tabla5[[#This Row],[N°TOTAL TALADROS CARGADOS]]</f>
        <v>122</v>
      </c>
      <c r="L30">
        <v>122</v>
      </c>
      <c r="M30">
        <v>0</v>
      </c>
      <c r="N30">
        <v>0</v>
      </c>
      <c r="O30">
        <f>Tabla5[[#This Row],[Taladros Simples]]+Tabla5[[#This Row],[Taladros Dobles]]+Tabla5[[#This Row],[Taladros Triples]]</f>
        <v>122</v>
      </c>
      <c r="S30" s="17">
        <v>306</v>
      </c>
      <c r="U30" t="s">
        <v>150</v>
      </c>
      <c r="V30">
        <v>30</v>
      </c>
      <c r="W30">
        <v>200</v>
      </c>
      <c r="Y30">
        <v>0</v>
      </c>
      <c r="Z30">
        <v>0</v>
      </c>
      <c r="AA30">
        <v>0</v>
      </c>
      <c r="AB30">
        <v>0</v>
      </c>
      <c r="AE30">
        <v>2.46</v>
      </c>
      <c r="AF30" t="e">
        <f>-#REF!</f>
        <v>#REF!</v>
      </c>
      <c r="AP30" t="str">
        <f t="shared" si="0"/>
        <v>GAL 01 y GAL 02-Vol 5</v>
      </c>
      <c r="AQ30" t="s">
        <v>148</v>
      </c>
    </row>
    <row r="31" spans="1:43" ht="14.4" x14ac:dyDescent="0.3">
      <c r="A31" s="30">
        <v>6</v>
      </c>
      <c r="B31" s="12" t="s">
        <v>144</v>
      </c>
      <c r="C31">
        <v>2024</v>
      </c>
      <c r="D31" t="s">
        <v>145</v>
      </c>
      <c r="E31" s="16">
        <v>45379</v>
      </c>
      <c r="F31" t="s">
        <v>149</v>
      </c>
      <c r="G31">
        <v>6</v>
      </c>
      <c r="H31">
        <f t="shared" si="1"/>
        <v>106</v>
      </c>
      <c r="I31">
        <f>+Tabla5[[#This Row],[N°TOTAL TALADROS CARGADOS]]</f>
        <v>106</v>
      </c>
      <c r="L31">
        <v>106</v>
      </c>
      <c r="M31">
        <v>0</v>
      </c>
      <c r="N31">
        <v>0</v>
      </c>
      <c r="O31">
        <f>Tabla5[[#This Row],[Taladros Simples]]+Tabla5[[#This Row],[Taladros Dobles]]+Tabla5[[#This Row],[Taladros Triples]]</f>
        <v>106</v>
      </c>
      <c r="S31" s="17">
        <v>236</v>
      </c>
      <c r="U31" t="s">
        <v>150</v>
      </c>
      <c r="V31">
        <v>13.2</v>
      </c>
      <c r="W31">
        <v>200</v>
      </c>
      <c r="Y31">
        <v>0</v>
      </c>
      <c r="Z31">
        <v>0</v>
      </c>
      <c r="AA31">
        <v>0</v>
      </c>
      <c r="AB31">
        <v>0</v>
      </c>
      <c r="AE31">
        <v>2.0299999999999998</v>
      </c>
      <c r="AF31" t="e">
        <f>-#REF!</f>
        <v>#REF!</v>
      </c>
      <c r="AP31" t="str">
        <f t="shared" si="0"/>
        <v>GAL 01 y GAL 02-Vol 6</v>
      </c>
      <c r="AQ31" t="s">
        <v>148</v>
      </c>
    </row>
    <row r="32" spans="1:43" ht="14.4" x14ac:dyDescent="0.3">
      <c r="A32" s="30">
        <v>7</v>
      </c>
      <c r="B32" s="12" t="s">
        <v>144</v>
      </c>
      <c r="C32">
        <v>2024</v>
      </c>
      <c r="D32" t="s">
        <v>145</v>
      </c>
      <c r="E32" s="16">
        <v>45380</v>
      </c>
      <c r="F32" t="s">
        <v>149</v>
      </c>
      <c r="G32">
        <v>7</v>
      </c>
      <c r="H32">
        <f t="shared" si="1"/>
        <v>116</v>
      </c>
      <c r="I32">
        <f>+Tabla5[[#This Row],[N°TOTAL TALADROS CARGADOS]]</f>
        <v>116</v>
      </c>
      <c r="L32">
        <v>116</v>
      </c>
      <c r="M32">
        <v>0</v>
      </c>
      <c r="N32">
        <v>0</v>
      </c>
      <c r="O32">
        <f>Tabla5[[#This Row],[Taladros Simples]]+Tabla5[[#This Row],[Taladros Dobles]]+Tabla5[[#This Row],[Taladros Triples]]</f>
        <v>116</v>
      </c>
      <c r="S32" s="17">
        <v>269</v>
      </c>
      <c r="U32" t="s">
        <v>150</v>
      </c>
      <c r="V32">
        <v>18.600000000000001</v>
      </c>
      <c r="W32">
        <v>200</v>
      </c>
      <c r="Y32">
        <v>0</v>
      </c>
      <c r="Z32">
        <v>0</v>
      </c>
      <c r="AA32">
        <v>0</v>
      </c>
      <c r="AB32">
        <v>0</v>
      </c>
      <c r="AE32">
        <v>2.0099999999999998</v>
      </c>
      <c r="AF32" t="e">
        <f>-#REF!</f>
        <v>#REF!</v>
      </c>
      <c r="AP32" t="str">
        <f t="shared" si="0"/>
        <v>GAL 01 y GAL 02-Vol 7</v>
      </c>
      <c r="AQ32" t="s">
        <v>148</v>
      </c>
    </row>
    <row r="33" spans="1:43" ht="14.4" x14ac:dyDescent="0.3">
      <c r="A33" s="30">
        <v>8</v>
      </c>
      <c r="B33" s="12" t="s">
        <v>144</v>
      </c>
      <c r="C33">
        <v>2024</v>
      </c>
      <c r="D33" t="s">
        <v>145</v>
      </c>
      <c r="E33" s="16">
        <v>45381</v>
      </c>
      <c r="F33" t="s">
        <v>149</v>
      </c>
      <c r="G33">
        <v>8</v>
      </c>
      <c r="H33">
        <f t="shared" si="1"/>
        <v>128</v>
      </c>
      <c r="I33">
        <f>+Tabla5[[#This Row],[N°TOTAL TALADROS CARGADOS]]</f>
        <v>128</v>
      </c>
      <c r="L33">
        <v>128</v>
      </c>
      <c r="M33">
        <v>0</v>
      </c>
      <c r="N33">
        <v>0</v>
      </c>
      <c r="O33">
        <f>Tabla5[[#This Row],[Taladros Simples]]+Tabla5[[#This Row],[Taladros Dobles]]+Tabla5[[#This Row],[Taladros Triples]]</f>
        <v>128</v>
      </c>
      <c r="S33" s="17">
        <v>292</v>
      </c>
      <c r="U33" t="s">
        <v>150</v>
      </c>
      <c r="V33">
        <v>3.8</v>
      </c>
      <c r="W33">
        <v>200</v>
      </c>
      <c r="Y33">
        <v>0</v>
      </c>
      <c r="Z33">
        <v>0</v>
      </c>
      <c r="AA33">
        <v>0</v>
      </c>
      <c r="AB33">
        <v>0</v>
      </c>
      <c r="AE33">
        <v>2.65</v>
      </c>
      <c r="AF33" t="e">
        <f>-#REF!</f>
        <v>#REF!</v>
      </c>
      <c r="AP33" t="str">
        <f t="shared" si="0"/>
        <v>GAL 01 y GAL 02-Vol 8</v>
      </c>
      <c r="AQ33" t="s">
        <v>148</v>
      </c>
    </row>
    <row r="34" spans="1:43" ht="14.4" x14ac:dyDescent="0.3">
      <c r="A34" s="30">
        <v>9</v>
      </c>
      <c r="B34" s="12" t="s">
        <v>144</v>
      </c>
      <c r="C34">
        <v>2024</v>
      </c>
      <c r="D34" t="s">
        <v>145</v>
      </c>
      <c r="E34" s="16">
        <v>45382</v>
      </c>
      <c r="F34" t="s">
        <v>149</v>
      </c>
      <c r="G34">
        <v>9</v>
      </c>
      <c r="H34">
        <f t="shared" si="1"/>
        <v>124</v>
      </c>
      <c r="I34">
        <f>+Tabla5[[#This Row],[N°TOTAL TALADROS CARGADOS]]</f>
        <v>124</v>
      </c>
      <c r="L34">
        <v>124</v>
      </c>
      <c r="M34">
        <v>0</v>
      </c>
      <c r="N34">
        <v>0</v>
      </c>
      <c r="O34">
        <f>Tabla5[[#This Row],[Taladros Simples]]+Tabla5[[#This Row],[Taladros Dobles]]+Tabla5[[#This Row],[Taladros Triples]]</f>
        <v>124</v>
      </c>
      <c r="S34" s="17">
        <v>280</v>
      </c>
      <c r="U34" t="s">
        <v>150</v>
      </c>
      <c r="V34">
        <v>14.8</v>
      </c>
      <c r="W34">
        <v>200</v>
      </c>
      <c r="Y34">
        <v>0</v>
      </c>
      <c r="Z34">
        <v>0</v>
      </c>
      <c r="AA34">
        <v>0</v>
      </c>
      <c r="AB34">
        <v>0</v>
      </c>
      <c r="AD34">
        <v>1</v>
      </c>
      <c r="AE34">
        <v>2.3199999999999998</v>
      </c>
      <c r="AF34" t="e">
        <f>-#REF!</f>
        <v>#REF!</v>
      </c>
      <c r="AP34" t="str">
        <f t="shared" si="0"/>
        <v>GAL 01 y GAL 02-Vol 9</v>
      </c>
      <c r="AQ34" t="s">
        <v>148</v>
      </c>
    </row>
    <row r="35" spans="1:43" ht="14.4" x14ac:dyDescent="0.3">
      <c r="A35" s="30">
        <v>10</v>
      </c>
      <c r="B35" s="12" t="s">
        <v>144</v>
      </c>
      <c r="C35">
        <v>2024</v>
      </c>
      <c r="D35" t="s">
        <v>151</v>
      </c>
      <c r="E35" s="16">
        <v>45383</v>
      </c>
      <c r="F35" t="s">
        <v>149</v>
      </c>
      <c r="G35">
        <v>10</v>
      </c>
      <c r="H35">
        <f t="shared" si="1"/>
        <v>122</v>
      </c>
      <c r="I35">
        <f>+Tabla5[[#This Row],[N°TOTAL TALADROS CARGADOS]]</f>
        <v>122</v>
      </c>
      <c r="L35">
        <v>122</v>
      </c>
      <c r="M35">
        <v>0</v>
      </c>
      <c r="N35">
        <v>0</v>
      </c>
      <c r="O35">
        <f>Tabla5[[#This Row],[Taladros Simples]]+Tabla5[[#This Row],[Taladros Dobles]]+Tabla5[[#This Row],[Taladros Triples]]</f>
        <v>122</v>
      </c>
      <c r="S35" s="17">
        <v>274.5</v>
      </c>
      <c r="U35" t="s">
        <v>150</v>
      </c>
      <c r="V35">
        <v>14</v>
      </c>
      <c r="W35">
        <v>200</v>
      </c>
      <c r="Y35">
        <v>0</v>
      </c>
      <c r="Z35">
        <v>0</v>
      </c>
      <c r="AA35">
        <v>0</v>
      </c>
      <c r="AB35">
        <v>0</v>
      </c>
      <c r="AE35">
        <v>2.15</v>
      </c>
      <c r="AF35" t="e">
        <f>-#REF!</f>
        <v>#REF!</v>
      </c>
      <c r="AP35" t="str">
        <f t="shared" si="0"/>
        <v>GAL 01 y GAL 02-Vol 10</v>
      </c>
      <c r="AQ35" t="s">
        <v>148</v>
      </c>
    </row>
    <row r="36" spans="1:43" ht="14.4" x14ac:dyDescent="0.3">
      <c r="A36" s="30">
        <v>11</v>
      </c>
      <c r="B36" s="12" t="s">
        <v>144</v>
      </c>
      <c r="C36">
        <v>2024</v>
      </c>
      <c r="D36" t="s">
        <v>151</v>
      </c>
      <c r="E36" s="16">
        <v>45384</v>
      </c>
      <c r="F36" t="s">
        <v>149</v>
      </c>
      <c r="G36">
        <v>11</v>
      </c>
      <c r="H36">
        <f t="shared" si="1"/>
        <v>110</v>
      </c>
      <c r="I36">
        <f>+Tabla5[[#This Row],[N°TOTAL TALADROS CARGADOS]]</f>
        <v>110</v>
      </c>
      <c r="L36">
        <v>110</v>
      </c>
      <c r="M36">
        <v>0</v>
      </c>
      <c r="N36">
        <v>0</v>
      </c>
      <c r="O36">
        <f>Tabla5[[#This Row],[Taladros Simples]]+Tabla5[[#This Row],[Taladros Dobles]]+Tabla5[[#This Row],[Taladros Triples]]</f>
        <v>110</v>
      </c>
      <c r="S36" s="17">
        <v>221</v>
      </c>
      <c r="U36" t="s">
        <v>152</v>
      </c>
      <c r="V36">
        <v>5</v>
      </c>
      <c r="W36">
        <v>200</v>
      </c>
      <c r="Y36">
        <v>0</v>
      </c>
      <c r="Z36">
        <v>0</v>
      </c>
      <c r="AA36">
        <v>0</v>
      </c>
      <c r="AB36">
        <v>0</v>
      </c>
      <c r="AE36">
        <v>2.0299999999999998</v>
      </c>
      <c r="AF36" t="e">
        <f>-#REF!</f>
        <v>#REF!</v>
      </c>
      <c r="AP36" t="str">
        <f t="shared" si="0"/>
        <v>GAL 01 y GAL 02-Vol 11</v>
      </c>
      <c r="AQ36" t="s">
        <v>148</v>
      </c>
    </row>
    <row r="37" spans="1:43" ht="14.4" x14ac:dyDescent="0.3">
      <c r="A37" s="30">
        <v>12</v>
      </c>
      <c r="B37" s="12" t="s">
        <v>144</v>
      </c>
      <c r="C37">
        <v>2024</v>
      </c>
      <c r="D37" t="s">
        <v>151</v>
      </c>
      <c r="E37" s="16">
        <v>45385</v>
      </c>
      <c r="F37" t="s">
        <v>149</v>
      </c>
      <c r="G37">
        <v>12</v>
      </c>
      <c r="H37">
        <f t="shared" si="1"/>
        <v>110</v>
      </c>
      <c r="I37">
        <f>+Tabla5[[#This Row],[N°TOTAL TALADROS CARGADOS]]</f>
        <v>110</v>
      </c>
      <c r="L37">
        <v>110</v>
      </c>
      <c r="M37">
        <v>0</v>
      </c>
      <c r="N37">
        <v>0</v>
      </c>
      <c r="O37">
        <f>Tabla5[[#This Row],[Taladros Simples]]+Tabla5[[#This Row],[Taladros Dobles]]+Tabla5[[#This Row],[Taladros Triples]]</f>
        <v>110</v>
      </c>
      <c r="S37" s="17">
        <v>216.5</v>
      </c>
      <c r="U37" t="s">
        <v>152</v>
      </c>
      <c r="V37">
        <v>15</v>
      </c>
      <c r="W37">
        <v>200</v>
      </c>
      <c r="Y37">
        <v>0</v>
      </c>
      <c r="Z37">
        <v>0</v>
      </c>
      <c r="AA37">
        <v>0</v>
      </c>
      <c r="AB37">
        <v>0</v>
      </c>
      <c r="AE37">
        <v>2.15</v>
      </c>
      <c r="AF37" t="e">
        <f>-#REF!</f>
        <v>#REF!</v>
      </c>
      <c r="AP37" t="str">
        <f t="shared" si="0"/>
        <v>GAL 01 y GAL 02-Vol 12</v>
      </c>
      <c r="AQ37" t="s">
        <v>148</v>
      </c>
    </row>
    <row r="38" spans="1:43" ht="14.4" x14ac:dyDescent="0.3">
      <c r="A38" s="30">
        <v>13</v>
      </c>
      <c r="B38" s="12" t="s">
        <v>144</v>
      </c>
      <c r="C38">
        <v>2024</v>
      </c>
      <c r="D38" t="s">
        <v>151</v>
      </c>
      <c r="E38" s="16">
        <v>45386</v>
      </c>
      <c r="F38" t="s">
        <v>149</v>
      </c>
      <c r="G38">
        <v>13</v>
      </c>
      <c r="H38">
        <f t="shared" si="1"/>
        <v>109</v>
      </c>
      <c r="I38">
        <f>+Tabla5[[#This Row],[N°TOTAL TALADROS CARGADOS]]</f>
        <v>109</v>
      </c>
      <c r="L38">
        <v>109</v>
      </c>
      <c r="M38">
        <v>0</v>
      </c>
      <c r="N38">
        <v>0</v>
      </c>
      <c r="O38">
        <f>Tabla5[[#This Row],[Taladros Simples]]+Tabla5[[#This Row],[Taladros Dobles]]+Tabla5[[#This Row],[Taladros Triples]]</f>
        <v>109</v>
      </c>
      <c r="S38" s="17">
        <v>240</v>
      </c>
      <c r="U38" t="s">
        <v>152</v>
      </c>
      <c r="V38">
        <v>13</v>
      </c>
      <c r="W38">
        <v>200</v>
      </c>
      <c r="Y38">
        <v>0</v>
      </c>
      <c r="Z38">
        <v>0</v>
      </c>
      <c r="AA38">
        <v>0</v>
      </c>
      <c r="AB38">
        <v>0</v>
      </c>
      <c r="AE38">
        <v>2.57</v>
      </c>
      <c r="AF38" t="e">
        <f>-#REF!</f>
        <v>#REF!</v>
      </c>
      <c r="AP38" t="str">
        <f t="shared" ref="AP38:AP49" si="2">CONCATENATE(F38,"-","Vol"," ",G38)</f>
        <v>GAL 01 y GAL 02-Vol 13</v>
      </c>
      <c r="AQ38" t="s">
        <v>148</v>
      </c>
    </row>
    <row r="39" spans="1:43" ht="14.4" x14ac:dyDescent="0.3">
      <c r="A39" s="30">
        <v>14</v>
      </c>
      <c r="B39" s="12" t="s">
        <v>144</v>
      </c>
      <c r="C39">
        <v>2024</v>
      </c>
      <c r="D39" t="s">
        <v>151</v>
      </c>
      <c r="E39" s="16">
        <v>45387</v>
      </c>
      <c r="F39" t="s">
        <v>149</v>
      </c>
      <c r="G39">
        <v>14</v>
      </c>
      <c r="H39">
        <f t="shared" si="1"/>
        <v>144</v>
      </c>
      <c r="I39">
        <v>144</v>
      </c>
      <c r="L39">
        <v>145</v>
      </c>
      <c r="M39">
        <v>0</v>
      </c>
      <c r="N39">
        <v>0</v>
      </c>
      <c r="O39">
        <f>Tabla5[[#This Row],[Taladros Simples]]+Tabla5[[#This Row],[Taladros Dobles]]+Tabla5[[#This Row],[Taladros Triples]]</f>
        <v>145</v>
      </c>
      <c r="Q39" s="17">
        <v>15</v>
      </c>
      <c r="S39" s="17">
        <v>291</v>
      </c>
      <c r="U39" t="s">
        <v>153</v>
      </c>
      <c r="V39">
        <v>17</v>
      </c>
      <c r="W39">
        <v>200</v>
      </c>
      <c r="Y39">
        <v>0</v>
      </c>
      <c r="Z39">
        <v>0</v>
      </c>
      <c r="AA39">
        <v>0</v>
      </c>
      <c r="AB39">
        <v>0</v>
      </c>
      <c r="AE39">
        <v>3.36</v>
      </c>
      <c r="AF39" t="e">
        <f>-#REF!</f>
        <v>#REF!</v>
      </c>
      <c r="AP39" t="str">
        <f t="shared" si="2"/>
        <v>GAL 01 y GAL 02-Vol 14</v>
      </c>
      <c r="AQ39" t="s">
        <v>148</v>
      </c>
    </row>
    <row r="40" spans="1:43" ht="14.4" x14ac:dyDescent="0.3">
      <c r="A40" s="30">
        <v>15</v>
      </c>
      <c r="B40" s="12" t="s">
        <v>144</v>
      </c>
      <c r="C40">
        <v>2024</v>
      </c>
      <c r="D40" t="s">
        <v>151</v>
      </c>
      <c r="E40" s="16">
        <v>45388</v>
      </c>
      <c r="F40" t="s">
        <v>149</v>
      </c>
      <c r="G40">
        <v>15</v>
      </c>
      <c r="H40">
        <f t="shared" si="1"/>
        <v>145</v>
      </c>
      <c r="I40">
        <v>145</v>
      </c>
      <c r="L40">
        <v>146</v>
      </c>
      <c r="M40">
        <v>0</v>
      </c>
      <c r="N40">
        <v>0</v>
      </c>
      <c r="O40">
        <f>Tabla5[[#This Row],[Taladros Simples]]+Tabla5[[#This Row],[Taladros Dobles]]+Tabla5[[#This Row],[Taladros Triples]]</f>
        <v>146</v>
      </c>
      <c r="Q40" s="17">
        <v>14</v>
      </c>
      <c r="S40" s="17">
        <v>295.5</v>
      </c>
      <c r="U40" t="s">
        <v>153</v>
      </c>
      <c r="V40">
        <v>17</v>
      </c>
      <c r="W40">
        <v>200</v>
      </c>
      <c r="Y40">
        <v>0</v>
      </c>
      <c r="Z40">
        <v>0</v>
      </c>
      <c r="AA40">
        <v>0</v>
      </c>
      <c r="AB40">
        <v>0</v>
      </c>
      <c r="AE40">
        <v>3.28</v>
      </c>
      <c r="AF40" t="e">
        <f>-#REF!</f>
        <v>#REF!</v>
      </c>
      <c r="AP40" t="str">
        <f t="shared" si="2"/>
        <v>GAL 01 y GAL 02-Vol 15</v>
      </c>
      <c r="AQ40" t="s">
        <v>148</v>
      </c>
    </row>
    <row r="41" spans="1:43" ht="14.4" x14ac:dyDescent="0.3">
      <c r="A41" s="30">
        <v>16</v>
      </c>
      <c r="B41" s="12" t="s">
        <v>144</v>
      </c>
      <c r="C41">
        <v>2024</v>
      </c>
      <c r="D41" t="s">
        <v>151</v>
      </c>
      <c r="E41" s="16">
        <v>45389</v>
      </c>
      <c r="F41" t="s">
        <v>149</v>
      </c>
      <c r="G41">
        <v>16</v>
      </c>
      <c r="H41">
        <f t="shared" si="1"/>
        <v>145</v>
      </c>
      <c r="I41">
        <v>145</v>
      </c>
      <c r="L41">
        <v>147</v>
      </c>
      <c r="O41">
        <f>Tabla5[[#This Row],[Taladros Simples]]+Tabla5[[#This Row],[Taladros Dobles]]+Tabla5[[#This Row],[Taladros Triples]]</f>
        <v>147</v>
      </c>
      <c r="Q41" s="17">
        <v>95</v>
      </c>
      <c r="S41" s="17">
        <v>210</v>
      </c>
      <c r="U41" t="s">
        <v>153</v>
      </c>
      <c r="V41">
        <v>20.8</v>
      </c>
      <c r="W41">
        <v>0</v>
      </c>
      <c r="Y41">
        <v>0</v>
      </c>
      <c r="Z41">
        <v>0</v>
      </c>
      <c r="AA41">
        <v>0</v>
      </c>
      <c r="AB41">
        <v>0</v>
      </c>
      <c r="AD41">
        <v>1</v>
      </c>
      <c r="AE41">
        <v>3.55</v>
      </c>
      <c r="AF41" t="e">
        <f>-#REF!</f>
        <v>#REF!</v>
      </c>
      <c r="AP41" t="str">
        <f t="shared" si="2"/>
        <v>GAL 01 y GAL 02-Vol 16</v>
      </c>
      <c r="AQ41" t="s">
        <v>154</v>
      </c>
    </row>
    <row r="42" spans="1:43" ht="14.4" x14ac:dyDescent="0.3">
      <c r="A42" s="30">
        <v>17</v>
      </c>
      <c r="B42" s="12" t="s">
        <v>144</v>
      </c>
      <c r="C42">
        <v>2024</v>
      </c>
      <c r="D42" t="s">
        <v>151</v>
      </c>
      <c r="E42" s="16">
        <v>45390</v>
      </c>
      <c r="F42" t="s">
        <v>149</v>
      </c>
      <c r="G42">
        <v>17</v>
      </c>
      <c r="H42">
        <f t="shared" si="1"/>
        <v>145</v>
      </c>
      <c r="I42">
        <v>145</v>
      </c>
      <c r="L42">
        <v>145</v>
      </c>
      <c r="O42">
        <f>Tabla5[[#This Row],[Taladros Simples]]+Tabla5[[#This Row],[Taladros Dobles]]+Tabla5[[#This Row],[Taladros Triples]]</f>
        <v>145</v>
      </c>
      <c r="Q42" s="17">
        <v>95</v>
      </c>
      <c r="S42" s="17">
        <v>208</v>
      </c>
      <c r="U42" t="s">
        <v>153</v>
      </c>
      <c r="V42">
        <v>20</v>
      </c>
      <c r="W42">
        <v>200</v>
      </c>
      <c r="Y42">
        <v>0</v>
      </c>
      <c r="Z42">
        <v>0</v>
      </c>
      <c r="AA42">
        <v>0</v>
      </c>
      <c r="AB42">
        <v>0</v>
      </c>
      <c r="AE42">
        <v>3.42</v>
      </c>
      <c r="AF42" t="e">
        <f>-#REF!</f>
        <v>#REF!</v>
      </c>
      <c r="AP42" t="str">
        <f t="shared" si="2"/>
        <v>GAL 01 y GAL 02-Vol 17</v>
      </c>
      <c r="AQ42" t="s">
        <v>148</v>
      </c>
    </row>
    <row r="43" spans="1:43" ht="14.4" x14ac:dyDescent="0.3">
      <c r="A43" s="30">
        <v>18</v>
      </c>
      <c r="B43" s="12" t="s">
        <v>144</v>
      </c>
      <c r="C43">
        <v>2024</v>
      </c>
      <c r="D43" t="s">
        <v>151</v>
      </c>
      <c r="E43" s="16">
        <v>45391</v>
      </c>
      <c r="F43" t="s">
        <v>149</v>
      </c>
      <c r="G43">
        <v>18</v>
      </c>
      <c r="H43">
        <f t="shared" si="1"/>
        <v>145</v>
      </c>
      <c r="I43">
        <f>+Tabla5[[#This Row],[N°TOTAL TALADROS CARGADOS]]</f>
        <v>145</v>
      </c>
      <c r="L43">
        <v>145</v>
      </c>
      <c r="O43">
        <f>Tabla5[[#This Row],[Taladros Simples]]+Tabla5[[#This Row],[Taladros Dobles]]+Tabla5[[#This Row],[Taladros Triples]]</f>
        <v>145</v>
      </c>
      <c r="Q43" s="17">
        <v>95</v>
      </c>
      <c r="S43" s="17">
        <v>208</v>
      </c>
      <c r="U43" t="s">
        <v>155</v>
      </c>
      <c r="V43">
        <v>20</v>
      </c>
      <c r="W43">
        <v>200</v>
      </c>
      <c r="Y43">
        <v>0</v>
      </c>
      <c r="Z43">
        <v>0</v>
      </c>
      <c r="AA43">
        <v>0</v>
      </c>
      <c r="AB43">
        <v>0</v>
      </c>
      <c r="AE43">
        <v>3.35</v>
      </c>
      <c r="AF43" t="e">
        <f>-#REF!</f>
        <v>#REF!</v>
      </c>
      <c r="AP43" t="str">
        <f t="shared" si="2"/>
        <v>GAL 01 y GAL 02-Vol 18</v>
      </c>
      <c r="AQ43" t="s">
        <v>148</v>
      </c>
    </row>
    <row r="44" spans="1:43" ht="14.4" x14ac:dyDescent="0.3">
      <c r="A44" s="30">
        <v>19</v>
      </c>
      <c r="B44" s="12" t="s">
        <v>144</v>
      </c>
      <c r="C44">
        <v>2024</v>
      </c>
      <c r="D44" t="s">
        <v>151</v>
      </c>
      <c r="E44" s="16">
        <v>45392</v>
      </c>
      <c r="F44" t="s">
        <v>149</v>
      </c>
      <c r="G44">
        <v>19</v>
      </c>
      <c r="H44">
        <f t="shared" si="1"/>
        <v>138</v>
      </c>
      <c r="I44">
        <v>138</v>
      </c>
      <c r="L44">
        <v>150</v>
      </c>
      <c r="O44">
        <f>Tabla5[[#This Row],[Taladros Simples]]+Tabla5[[#This Row],[Taladros Dobles]]+Tabla5[[#This Row],[Taladros Triples]]</f>
        <v>150</v>
      </c>
      <c r="Q44" s="17">
        <v>95</v>
      </c>
      <c r="S44" s="17">
        <v>192</v>
      </c>
      <c r="U44" t="s">
        <v>155</v>
      </c>
      <c r="V44">
        <v>20</v>
      </c>
      <c r="W44">
        <v>200</v>
      </c>
      <c r="Y44">
        <v>0</v>
      </c>
      <c r="Z44">
        <v>0</v>
      </c>
      <c r="AA44">
        <v>0</v>
      </c>
      <c r="AB44">
        <v>0</v>
      </c>
      <c r="AE44">
        <v>3.31</v>
      </c>
      <c r="AF44" t="e">
        <f>-#REF!</f>
        <v>#REF!</v>
      </c>
      <c r="AP44" t="str">
        <f t="shared" si="2"/>
        <v>GAL 01 y GAL 02-Vol 19</v>
      </c>
      <c r="AQ44" t="s">
        <v>148</v>
      </c>
    </row>
    <row r="45" spans="1:43" ht="14.4" x14ac:dyDescent="0.3">
      <c r="A45" s="30">
        <v>20</v>
      </c>
      <c r="B45" s="12" t="s">
        <v>144</v>
      </c>
      <c r="C45">
        <v>2024</v>
      </c>
      <c r="D45" t="s">
        <v>151</v>
      </c>
      <c r="E45" s="16">
        <v>45393</v>
      </c>
      <c r="F45" t="s">
        <v>149</v>
      </c>
      <c r="G45">
        <v>20</v>
      </c>
      <c r="H45">
        <f t="shared" si="1"/>
        <v>131</v>
      </c>
      <c r="I45">
        <v>131</v>
      </c>
      <c r="L45">
        <v>146</v>
      </c>
      <c r="O45">
        <f>Tabla5[[#This Row],[Taladros Simples]]+Tabla5[[#This Row],[Taladros Dobles]]+Tabla5[[#This Row],[Taladros Triples]]</f>
        <v>146</v>
      </c>
      <c r="Q45" s="17">
        <v>99</v>
      </c>
      <c r="S45" s="17">
        <v>174</v>
      </c>
      <c r="U45" t="s">
        <v>155</v>
      </c>
      <c r="V45">
        <v>17</v>
      </c>
      <c r="W45">
        <v>200</v>
      </c>
      <c r="Y45">
        <v>0</v>
      </c>
      <c r="Z45">
        <v>0</v>
      </c>
      <c r="AA45">
        <v>0</v>
      </c>
      <c r="AB45">
        <v>0</v>
      </c>
      <c r="AE45">
        <v>3.04</v>
      </c>
      <c r="AF45" t="e">
        <f>-#REF!</f>
        <v>#REF!</v>
      </c>
      <c r="AP45" t="str">
        <f t="shared" si="2"/>
        <v>GAL 01 y GAL 02-Vol 20</v>
      </c>
      <c r="AQ45" t="s">
        <v>148</v>
      </c>
    </row>
    <row r="46" spans="1:43" ht="14.4" x14ac:dyDescent="0.3">
      <c r="A46" s="30">
        <v>21</v>
      </c>
      <c r="B46" s="12" t="s">
        <v>144</v>
      </c>
      <c r="C46">
        <v>2024</v>
      </c>
      <c r="D46" t="s">
        <v>151</v>
      </c>
      <c r="E46" s="16">
        <v>45394</v>
      </c>
      <c r="F46" t="s">
        <v>149</v>
      </c>
      <c r="G46">
        <v>21</v>
      </c>
      <c r="H46">
        <f t="shared" si="1"/>
        <v>130</v>
      </c>
      <c r="I46">
        <v>130</v>
      </c>
      <c r="L46">
        <v>146</v>
      </c>
      <c r="O46">
        <f>Tabla5[[#This Row],[Taladros Simples]]+Tabla5[[#This Row],[Taladros Dobles]]+Tabla5[[#This Row],[Taladros Triples]]</f>
        <v>146</v>
      </c>
      <c r="Q46" s="17">
        <v>113</v>
      </c>
      <c r="S46" s="17">
        <v>162</v>
      </c>
      <c r="U46" t="s">
        <v>155</v>
      </c>
      <c r="V46">
        <v>16</v>
      </c>
      <c r="W46">
        <v>200</v>
      </c>
      <c r="Y46">
        <v>0</v>
      </c>
      <c r="Z46">
        <v>0</v>
      </c>
      <c r="AA46">
        <v>0</v>
      </c>
      <c r="AB46">
        <v>0</v>
      </c>
      <c r="AE46">
        <v>3.28</v>
      </c>
      <c r="AF46" t="e">
        <f>-#REF!</f>
        <v>#REF!</v>
      </c>
      <c r="AP46" t="str">
        <f t="shared" si="2"/>
        <v>GAL 01 y GAL 02-Vol 21</v>
      </c>
      <c r="AQ46" t="s">
        <v>148</v>
      </c>
    </row>
    <row r="47" spans="1:43" ht="14.4" x14ac:dyDescent="0.3">
      <c r="A47" s="30">
        <v>22</v>
      </c>
      <c r="B47" s="12" t="s">
        <v>144</v>
      </c>
      <c r="C47">
        <v>2024</v>
      </c>
      <c r="D47" t="s">
        <v>151</v>
      </c>
      <c r="E47" s="16">
        <v>45395</v>
      </c>
      <c r="F47" t="s">
        <v>149</v>
      </c>
      <c r="G47">
        <v>22</v>
      </c>
      <c r="H47">
        <f t="shared" si="1"/>
        <v>134</v>
      </c>
      <c r="I47">
        <v>134</v>
      </c>
      <c r="L47">
        <v>151</v>
      </c>
      <c r="O47">
        <f>Tabla5[[#This Row],[Taladros Simples]]+Tabla5[[#This Row],[Taladros Dobles]]+Tabla5[[#This Row],[Taladros Triples]]</f>
        <v>151</v>
      </c>
      <c r="Q47" s="17">
        <v>118</v>
      </c>
      <c r="S47" s="17">
        <v>163</v>
      </c>
      <c r="U47" t="s">
        <v>156</v>
      </c>
      <c r="V47">
        <v>20</v>
      </c>
      <c r="W47">
        <v>200</v>
      </c>
      <c r="Y47">
        <v>0</v>
      </c>
      <c r="Z47">
        <v>0</v>
      </c>
      <c r="AA47">
        <v>0</v>
      </c>
      <c r="AB47">
        <v>0</v>
      </c>
      <c r="AE47">
        <v>3.04</v>
      </c>
      <c r="AF47" t="e">
        <f>-#REF!</f>
        <v>#REF!</v>
      </c>
      <c r="AP47" t="str">
        <f t="shared" si="2"/>
        <v>GAL 01 y GAL 02-Vol 22</v>
      </c>
      <c r="AQ47" t="s">
        <v>148</v>
      </c>
    </row>
    <row r="48" spans="1:43" ht="14.4" x14ac:dyDescent="0.3">
      <c r="A48" s="30">
        <v>23</v>
      </c>
      <c r="B48" s="12" t="s">
        <v>144</v>
      </c>
      <c r="C48">
        <v>2024</v>
      </c>
      <c r="D48" t="s">
        <v>151</v>
      </c>
      <c r="E48" s="16">
        <v>45396</v>
      </c>
      <c r="F48" t="s">
        <v>149</v>
      </c>
      <c r="G48">
        <v>23</v>
      </c>
      <c r="H48">
        <f t="shared" si="1"/>
        <v>151</v>
      </c>
      <c r="I48">
        <f>+Tabla5[[#This Row],[N°TOTAL TALADROS CARGADOS]]</f>
        <v>151</v>
      </c>
      <c r="L48">
        <v>151</v>
      </c>
      <c r="O48">
        <f>Tabla5[[#This Row],[Taladros Simples]]+Tabla5[[#This Row],[Taladros Dobles]]+Tabla5[[#This Row],[Taladros Triples]]</f>
        <v>151</v>
      </c>
      <c r="Q48" s="17">
        <v>118</v>
      </c>
      <c r="S48" s="17">
        <v>169</v>
      </c>
      <c r="U48" t="s">
        <v>157</v>
      </c>
      <c r="V48">
        <v>20</v>
      </c>
      <c r="W48">
        <v>200</v>
      </c>
      <c r="Y48">
        <v>0</v>
      </c>
      <c r="Z48">
        <v>0</v>
      </c>
      <c r="AA48">
        <v>0</v>
      </c>
      <c r="AB48">
        <v>0</v>
      </c>
      <c r="AE48">
        <v>3.66</v>
      </c>
      <c r="AF48" t="e">
        <f>-#REF!</f>
        <v>#REF!</v>
      </c>
      <c r="AP48" t="str">
        <f t="shared" si="2"/>
        <v>GAL 01 y GAL 02-Vol 23</v>
      </c>
      <c r="AQ48" t="s">
        <v>148</v>
      </c>
    </row>
    <row r="49" spans="1:43" ht="14.4" x14ac:dyDescent="0.3">
      <c r="A49" s="30">
        <v>24</v>
      </c>
      <c r="B49" s="12" t="s">
        <v>144</v>
      </c>
      <c r="C49">
        <v>2024</v>
      </c>
      <c r="D49" t="s">
        <v>151</v>
      </c>
      <c r="E49" s="16">
        <v>45397</v>
      </c>
      <c r="F49" t="s">
        <v>149</v>
      </c>
      <c r="G49">
        <v>24</v>
      </c>
      <c r="H49">
        <f t="shared" si="1"/>
        <v>149</v>
      </c>
      <c r="I49">
        <v>149</v>
      </c>
      <c r="L49">
        <v>149</v>
      </c>
      <c r="O49">
        <f>Tabla5[[#This Row],[Taladros Simples]]+Tabla5[[#This Row],[Taladros Dobles]]+Tabla5[[#This Row],[Taladros Triples]]</f>
        <v>149</v>
      </c>
      <c r="Q49" s="17">
        <v>118</v>
      </c>
      <c r="S49" s="17">
        <v>163</v>
      </c>
      <c r="U49" t="s">
        <v>156</v>
      </c>
      <c r="V49">
        <v>20</v>
      </c>
      <c r="W49">
        <v>200</v>
      </c>
      <c r="Y49">
        <v>0</v>
      </c>
      <c r="Z49">
        <v>0</v>
      </c>
      <c r="AA49">
        <v>0</v>
      </c>
      <c r="AB49">
        <v>0</v>
      </c>
      <c r="AE49">
        <v>3.39</v>
      </c>
      <c r="AF49" t="e">
        <f>-#REF!</f>
        <v>#REF!</v>
      </c>
      <c r="AP49" t="str">
        <f t="shared" si="2"/>
        <v>GAL 01 y GAL 02-Vol 24</v>
      </c>
      <c r="AQ49" t="s">
        <v>148</v>
      </c>
    </row>
    <row r="50" spans="1:43" ht="14.4" x14ac:dyDescent="0.3">
      <c r="A50" s="30">
        <v>25</v>
      </c>
      <c r="B50" s="12" t="s">
        <v>144</v>
      </c>
      <c r="C50">
        <v>2024</v>
      </c>
      <c r="D50" t="s">
        <v>151</v>
      </c>
      <c r="E50" s="16">
        <v>45398</v>
      </c>
      <c r="F50" t="s">
        <v>149</v>
      </c>
      <c r="G50">
        <v>25</v>
      </c>
      <c r="H50">
        <f t="shared" si="1"/>
        <v>151</v>
      </c>
      <c r="I50">
        <v>151</v>
      </c>
      <c r="L50">
        <v>151</v>
      </c>
      <c r="O50">
        <f>Tabla5[[#This Row],[Taladros Simples]]+Tabla5[[#This Row],[Taladros Dobles]]+Tabla5[[#This Row],[Taladros Triples]]</f>
        <v>151</v>
      </c>
      <c r="Q50" s="17">
        <v>118</v>
      </c>
      <c r="S50" s="17">
        <v>163</v>
      </c>
      <c r="U50" t="s">
        <v>157</v>
      </c>
      <c r="V50">
        <v>20</v>
      </c>
      <c r="W50">
        <v>200</v>
      </c>
      <c r="Y50">
        <v>0</v>
      </c>
      <c r="Z50">
        <v>0</v>
      </c>
      <c r="AA50">
        <v>0</v>
      </c>
      <c r="AB50">
        <v>0</v>
      </c>
      <c r="AE50">
        <v>3.69</v>
      </c>
      <c r="AF50" t="e">
        <f>-#REF!</f>
        <v>#REF!</v>
      </c>
      <c r="AP50" t="str">
        <f t="shared" ref="AP50:AP65" si="3">CONCATENATE(F50,"-","Vol"," ",G50)</f>
        <v>GAL 01 y GAL 02-Vol 25</v>
      </c>
      <c r="AQ50" t="s">
        <v>148</v>
      </c>
    </row>
    <row r="51" spans="1:43" ht="14.4" x14ac:dyDescent="0.3">
      <c r="A51" s="30">
        <v>26</v>
      </c>
      <c r="B51" s="12" t="s">
        <v>144</v>
      </c>
      <c r="C51">
        <v>2024</v>
      </c>
      <c r="D51" t="s">
        <v>151</v>
      </c>
      <c r="E51" s="16">
        <v>45399</v>
      </c>
      <c r="F51" t="s">
        <v>149</v>
      </c>
      <c r="G51">
        <v>26</v>
      </c>
      <c r="H51">
        <f t="shared" si="1"/>
        <v>150</v>
      </c>
      <c r="I51">
        <v>150</v>
      </c>
      <c r="L51">
        <v>150</v>
      </c>
      <c r="O51">
        <f>Tabla5[[#This Row],[Taladros Simples]]+Tabla5[[#This Row],[Taladros Dobles]]+Tabla5[[#This Row],[Taladros Triples]]</f>
        <v>150</v>
      </c>
      <c r="Q51" s="17">
        <v>180</v>
      </c>
      <c r="S51" s="17">
        <v>207</v>
      </c>
      <c r="U51" t="s">
        <v>157</v>
      </c>
      <c r="V51">
        <v>20</v>
      </c>
      <c r="W51">
        <v>200</v>
      </c>
      <c r="Y51">
        <v>0</v>
      </c>
      <c r="Z51">
        <v>0</v>
      </c>
      <c r="AA51">
        <v>0</v>
      </c>
      <c r="AB51">
        <v>0</v>
      </c>
      <c r="AE51">
        <v>3.43</v>
      </c>
      <c r="AF51" t="e">
        <f>-#REF!</f>
        <v>#REF!</v>
      </c>
      <c r="AP51" t="str">
        <f t="shared" si="3"/>
        <v>GAL 01 y GAL 02-Vol 26</v>
      </c>
      <c r="AQ51" t="s">
        <v>148</v>
      </c>
    </row>
    <row r="52" spans="1:43" ht="14.4" x14ac:dyDescent="0.3">
      <c r="A52" s="30">
        <v>27</v>
      </c>
      <c r="B52" s="12" t="s">
        <v>144</v>
      </c>
      <c r="C52">
        <v>2024</v>
      </c>
      <c r="D52" t="s">
        <v>151</v>
      </c>
      <c r="E52" s="16">
        <v>45400</v>
      </c>
      <c r="F52" t="s">
        <v>149</v>
      </c>
      <c r="G52">
        <v>27</v>
      </c>
      <c r="H52">
        <f t="shared" si="1"/>
        <v>151</v>
      </c>
      <c r="I52">
        <v>151</v>
      </c>
      <c r="L52">
        <v>151</v>
      </c>
      <c r="O52">
        <f>Tabla5[[#This Row],[Taladros Simples]]+Tabla5[[#This Row],[Taladros Dobles]]+Tabla5[[#This Row],[Taladros Triples]]</f>
        <v>151</v>
      </c>
      <c r="Q52" s="17">
        <v>181</v>
      </c>
      <c r="S52" s="17">
        <v>211</v>
      </c>
      <c r="U52" t="s">
        <v>157</v>
      </c>
      <c r="V52">
        <v>20</v>
      </c>
      <c r="W52">
        <v>200</v>
      </c>
      <c r="Y52">
        <v>0</v>
      </c>
      <c r="Z52">
        <v>0</v>
      </c>
      <c r="AA52">
        <v>0</v>
      </c>
      <c r="AB52">
        <v>0</v>
      </c>
      <c r="AE52">
        <v>3.45</v>
      </c>
      <c r="AF52" t="e">
        <f>-#REF!</f>
        <v>#REF!</v>
      </c>
      <c r="AP52" t="str">
        <f t="shared" si="3"/>
        <v>GAL 01 y GAL 02-Vol 27</v>
      </c>
      <c r="AQ52" t="s">
        <v>148</v>
      </c>
    </row>
    <row r="53" spans="1:43" ht="14.4" x14ac:dyDescent="0.3">
      <c r="A53" s="30">
        <v>28</v>
      </c>
      <c r="B53" s="12" t="s">
        <v>144</v>
      </c>
      <c r="C53">
        <v>2024</v>
      </c>
      <c r="D53" t="s">
        <v>151</v>
      </c>
      <c r="E53" s="16">
        <v>45401</v>
      </c>
      <c r="F53" t="s">
        <v>149</v>
      </c>
      <c r="G53">
        <v>28</v>
      </c>
      <c r="H53">
        <f t="shared" si="1"/>
        <v>149</v>
      </c>
      <c r="I53">
        <v>149</v>
      </c>
      <c r="L53">
        <v>149</v>
      </c>
      <c r="O53">
        <f>Tabla5[[#This Row],[Taladros Simples]]+Tabla5[[#This Row],[Taladros Dobles]]+Tabla5[[#This Row],[Taladros Triples]]</f>
        <v>149</v>
      </c>
      <c r="Q53" s="17">
        <v>0</v>
      </c>
      <c r="S53" s="17">
        <v>485</v>
      </c>
      <c r="U53" t="s">
        <v>157</v>
      </c>
      <c r="V53">
        <v>20</v>
      </c>
      <c r="W53">
        <v>200</v>
      </c>
      <c r="Y53">
        <v>0</v>
      </c>
      <c r="Z53">
        <v>0</v>
      </c>
      <c r="AA53">
        <v>0</v>
      </c>
      <c r="AB53">
        <v>0</v>
      </c>
      <c r="AE53">
        <v>3.46</v>
      </c>
      <c r="AF53" t="e">
        <f>-#REF!</f>
        <v>#REF!</v>
      </c>
      <c r="AP53" t="str">
        <f t="shared" si="3"/>
        <v>GAL 01 y GAL 02-Vol 28</v>
      </c>
      <c r="AQ53" t="s">
        <v>148</v>
      </c>
    </row>
    <row r="54" spans="1:43" ht="14.4" x14ac:dyDescent="0.3">
      <c r="A54" s="30">
        <v>29</v>
      </c>
      <c r="B54" s="12" t="s">
        <v>144</v>
      </c>
      <c r="C54">
        <v>2024</v>
      </c>
      <c r="D54" t="s">
        <v>151</v>
      </c>
      <c r="E54" s="16">
        <v>45402</v>
      </c>
      <c r="F54" t="s">
        <v>149</v>
      </c>
      <c r="G54">
        <v>29</v>
      </c>
      <c r="H54">
        <f t="shared" si="1"/>
        <v>151</v>
      </c>
      <c r="I54">
        <v>151</v>
      </c>
      <c r="L54">
        <v>151</v>
      </c>
      <c r="O54">
        <f>Tabla5[[#This Row],[Taladros Simples]]+Tabla5[[#This Row],[Taladros Dobles]]+Tabla5[[#This Row],[Taladros Triples]]</f>
        <v>151</v>
      </c>
      <c r="Q54" s="17">
        <v>55</v>
      </c>
      <c r="S54" s="17">
        <v>380</v>
      </c>
      <c r="U54" t="s">
        <v>157</v>
      </c>
      <c r="V54">
        <v>20</v>
      </c>
      <c r="W54">
        <v>200</v>
      </c>
      <c r="Y54">
        <v>0</v>
      </c>
      <c r="Z54">
        <v>0</v>
      </c>
      <c r="AA54">
        <v>0</v>
      </c>
      <c r="AB54">
        <v>0</v>
      </c>
      <c r="AE54">
        <v>3.43</v>
      </c>
      <c r="AF54" t="e">
        <f>-#REF!</f>
        <v>#REF!</v>
      </c>
      <c r="AP54" t="str">
        <f t="shared" si="3"/>
        <v>GAL 01 y GAL 02-Vol 29</v>
      </c>
      <c r="AQ54" t="s">
        <v>148</v>
      </c>
    </row>
    <row r="55" spans="1:43" ht="14.4" x14ac:dyDescent="0.3">
      <c r="A55" s="30">
        <v>30</v>
      </c>
      <c r="B55" s="12" t="s">
        <v>144</v>
      </c>
      <c r="C55">
        <v>2024</v>
      </c>
      <c r="D55" t="s">
        <v>151</v>
      </c>
      <c r="E55" s="16">
        <v>45403</v>
      </c>
      <c r="F55" t="s">
        <v>149</v>
      </c>
      <c r="G55">
        <v>30</v>
      </c>
      <c r="H55">
        <f t="shared" si="1"/>
        <v>151</v>
      </c>
      <c r="I55">
        <v>151</v>
      </c>
      <c r="L55">
        <v>151</v>
      </c>
      <c r="O55">
        <f>Tabla5[[#This Row],[Taladros Simples]]+Tabla5[[#This Row],[Taladros Dobles]]+Tabla5[[#This Row],[Taladros Triples]]</f>
        <v>151</v>
      </c>
      <c r="Q55" s="17">
        <v>118</v>
      </c>
      <c r="S55" s="17">
        <v>176</v>
      </c>
      <c r="U55" t="s">
        <v>157</v>
      </c>
      <c r="V55">
        <v>50</v>
      </c>
      <c r="W55">
        <v>200</v>
      </c>
      <c r="Y55">
        <v>0</v>
      </c>
      <c r="Z55">
        <v>0</v>
      </c>
      <c r="AA55">
        <v>0</v>
      </c>
      <c r="AB55">
        <v>0</v>
      </c>
      <c r="AE55">
        <v>3.46</v>
      </c>
      <c r="AF55" t="e">
        <f>-#REF!</f>
        <v>#REF!</v>
      </c>
      <c r="AP55" t="str">
        <f t="shared" si="3"/>
        <v>GAL 01 y GAL 02-Vol 30</v>
      </c>
      <c r="AQ55" t="s">
        <v>148</v>
      </c>
    </row>
    <row r="56" spans="1:43" ht="14.4" x14ac:dyDescent="0.3">
      <c r="A56" s="30">
        <v>31</v>
      </c>
      <c r="B56" s="12" t="s">
        <v>144</v>
      </c>
      <c r="C56">
        <v>2024</v>
      </c>
      <c r="D56" t="s">
        <v>151</v>
      </c>
      <c r="E56" s="16">
        <v>45404</v>
      </c>
      <c r="F56" t="s">
        <v>149</v>
      </c>
      <c r="G56">
        <v>31</v>
      </c>
      <c r="H56">
        <f t="shared" si="1"/>
        <v>151</v>
      </c>
      <c r="I56">
        <f>+Tabla5[[#This Row],[N°TOTAL TALADROS CARGADOS]]</f>
        <v>151</v>
      </c>
      <c r="L56">
        <v>151</v>
      </c>
      <c r="O56">
        <f>Tabla5[[#This Row],[Taladros Simples]]+Tabla5[[#This Row],[Taladros Dobles]]+Tabla5[[#This Row],[Taladros Triples]]</f>
        <v>151</v>
      </c>
      <c r="Q56" s="17">
        <v>127</v>
      </c>
      <c r="S56" s="17">
        <v>164</v>
      </c>
      <c r="U56" t="s">
        <v>158</v>
      </c>
      <c r="V56">
        <v>50</v>
      </c>
      <c r="W56">
        <v>200</v>
      </c>
      <c r="Y56">
        <v>0</v>
      </c>
      <c r="Z56">
        <v>0</v>
      </c>
      <c r="AA56">
        <v>0</v>
      </c>
      <c r="AB56">
        <v>0</v>
      </c>
      <c r="AE56">
        <v>3.45</v>
      </c>
      <c r="AF56" t="e">
        <f>-#REF!</f>
        <v>#REF!</v>
      </c>
      <c r="AP56" t="str">
        <f t="shared" si="3"/>
        <v>GAL 01 y GAL 02-Vol 31</v>
      </c>
      <c r="AQ56" t="s">
        <v>148</v>
      </c>
    </row>
    <row r="57" spans="1:43" ht="14.4" x14ac:dyDescent="0.3">
      <c r="A57" s="30">
        <v>32</v>
      </c>
      <c r="B57" s="12" t="s">
        <v>144</v>
      </c>
      <c r="C57">
        <v>2024</v>
      </c>
      <c r="D57" t="s">
        <v>151</v>
      </c>
      <c r="E57" s="16">
        <v>45405</v>
      </c>
      <c r="F57" t="s">
        <v>149</v>
      </c>
      <c r="G57">
        <v>32</v>
      </c>
      <c r="H57">
        <f t="shared" si="1"/>
        <v>147</v>
      </c>
      <c r="I57">
        <v>147</v>
      </c>
      <c r="L57">
        <v>163</v>
      </c>
      <c r="O57">
        <f>Tabla5[[#This Row],[Taladros Simples]]+Tabla5[[#This Row],[Taladros Dobles]]+Tabla5[[#This Row],[Taladros Triples]]</f>
        <v>163</v>
      </c>
      <c r="Q57" s="17">
        <v>127</v>
      </c>
      <c r="S57" s="17">
        <v>160</v>
      </c>
      <c r="U57" t="s">
        <v>159</v>
      </c>
      <c r="V57">
        <v>60</v>
      </c>
      <c r="W57">
        <v>200</v>
      </c>
      <c r="Y57">
        <v>0</v>
      </c>
      <c r="Z57">
        <v>0</v>
      </c>
      <c r="AA57">
        <v>0</v>
      </c>
      <c r="AB57">
        <v>0</v>
      </c>
      <c r="AE57">
        <v>3.45</v>
      </c>
      <c r="AF57" t="e">
        <f>-#REF!</f>
        <v>#REF!</v>
      </c>
      <c r="AP57" t="str">
        <f t="shared" si="3"/>
        <v>GAL 01 y GAL 02-Vol 32</v>
      </c>
      <c r="AQ57" t="s">
        <v>148</v>
      </c>
    </row>
    <row r="58" spans="1:43" ht="14.4" x14ac:dyDescent="0.3">
      <c r="A58" s="30">
        <v>33</v>
      </c>
      <c r="B58" s="12" t="s">
        <v>144</v>
      </c>
      <c r="C58">
        <v>2024</v>
      </c>
      <c r="D58" t="s">
        <v>151</v>
      </c>
      <c r="E58" s="16">
        <v>45406</v>
      </c>
      <c r="F58" t="s">
        <v>149</v>
      </c>
      <c r="G58">
        <v>33</v>
      </c>
      <c r="H58">
        <f t="shared" si="1"/>
        <v>148</v>
      </c>
      <c r="I58">
        <v>148</v>
      </c>
      <c r="L58">
        <v>159</v>
      </c>
      <c r="O58">
        <f>Tabla5[[#This Row],[Taladros Simples]]+Tabla5[[#This Row],[Taladros Dobles]]+Tabla5[[#This Row],[Taladros Triples]]</f>
        <v>159</v>
      </c>
      <c r="Q58" s="17">
        <v>127</v>
      </c>
      <c r="S58" s="17">
        <v>160</v>
      </c>
      <c r="U58" t="s">
        <v>160</v>
      </c>
      <c r="V58">
        <v>60</v>
      </c>
      <c r="W58">
        <v>200</v>
      </c>
      <c r="Y58">
        <v>0</v>
      </c>
      <c r="Z58">
        <v>0</v>
      </c>
      <c r="AA58">
        <v>0</v>
      </c>
      <c r="AB58">
        <v>0</v>
      </c>
      <c r="AD58">
        <v>1</v>
      </c>
      <c r="AE58">
        <v>3.5</v>
      </c>
      <c r="AF58" t="e">
        <f>-#REF!</f>
        <v>#REF!</v>
      </c>
      <c r="AP58" t="str">
        <f t="shared" si="3"/>
        <v>GAL 01 y GAL 02-Vol 33</v>
      </c>
      <c r="AQ58" t="s">
        <v>161</v>
      </c>
    </row>
    <row r="59" spans="1:43" ht="14.4" x14ac:dyDescent="0.3">
      <c r="A59" s="30">
        <v>34</v>
      </c>
      <c r="B59" s="12" t="s">
        <v>144</v>
      </c>
      <c r="C59">
        <v>2024</v>
      </c>
      <c r="D59" t="s">
        <v>151</v>
      </c>
      <c r="E59" s="16">
        <v>45407</v>
      </c>
      <c r="F59" t="s">
        <v>149</v>
      </c>
      <c r="G59">
        <v>34</v>
      </c>
      <c r="H59">
        <f t="shared" si="1"/>
        <v>156</v>
      </c>
      <c r="I59">
        <v>156</v>
      </c>
      <c r="L59">
        <v>159</v>
      </c>
      <c r="O59">
        <f>Tabla5[[#This Row],[Taladros Simples]]+Tabla5[[#This Row],[Taladros Dobles]]+Tabla5[[#This Row],[Taladros Triples]]</f>
        <v>159</v>
      </c>
      <c r="Q59" s="17">
        <v>194</v>
      </c>
      <c r="S59" s="17">
        <v>208</v>
      </c>
      <c r="U59" t="s">
        <v>159</v>
      </c>
      <c r="V59">
        <v>33</v>
      </c>
      <c r="W59">
        <v>200</v>
      </c>
      <c r="Y59">
        <v>0</v>
      </c>
      <c r="Z59">
        <v>0</v>
      </c>
      <c r="AA59">
        <v>0</v>
      </c>
      <c r="AB59">
        <v>0</v>
      </c>
      <c r="AD59">
        <v>2</v>
      </c>
      <c r="AE59">
        <v>3.41</v>
      </c>
      <c r="AF59" t="e">
        <f>-#REF!</f>
        <v>#REF!</v>
      </c>
      <c r="AP59" t="str">
        <f t="shared" si="3"/>
        <v>GAL 01 y GAL 02-Vol 34</v>
      </c>
      <c r="AQ59" t="s">
        <v>162</v>
      </c>
    </row>
    <row r="60" spans="1:43" ht="14.4" x14ac:dyDescent="0.3">
      <c r="A60" s="30" t="s">
        <v>163</v>
      </c>
      <c r="B60" s="12" t="s">
        <v>144</v>
      </c>
      <c r="C60">
        <v>2024</v>
      </c>
      <c r="D60" t="s">
        <v>151</v>
      </c>
      <c r="E60" s="16">
        <v>45407</v>
      </c>
      <c r="F60" t="s">
        <v>164</v>
      </c>
      <c r="H60">
        <f t="shared" si="1"/>
        <v>2</v>
      </c>
      <c r="I60">
        <v>2</v>
      </c>
      <c r="L60">
        <v>2</v>
      </c>
      <c r="O60">
        <f>Tabla5[[#This Row],[Taladros Simples]]+Tabla5[[#This Row],[Taladros Dobles]]+Tabla5[[#This Row],[Taladros Triples]]</f>
        <v>2</v>
      </c>
      <c r="S60" s="17">
        <v>1</v>
      </c>
      <c r="U60" t="s">
        <v>160</v>
      </c>
      <c r="Y60">
        <v>0</v>
      </c>
      <c r="Z60">
        <v>0</v>
      </c>
      <c r="AA60">
        <v>0</v>
      </c>
      <c r="AB60">
        <v>0</v>
      </c>
      <c r="AE60">
        <v>3.45</v>
      </c>
      <c r="AF60" t="e">
        <f>-#REF!</f>
        <v>#REF!</v>
      </c>
      <c r="AP60" t="str">
        <f t="shared" si="3"/>
        <v xml:space="preserve">Voladura secundaria - Eliminación de TQ-Vol </v>
      </c>
      <c r="AQ60" t="s">
        <v>165</v>
      </c>
    </row>
    <row r="61" spans="1:43" ht="14.4" x14ac:dyDescent="0.3">
      <c r="A61" s="30">
        <v>35</v>
      </c>
      <c r="B61" s="12" t="s">
        <v>144</v>
      </c>
      <c r="C61">
        <v>2024</v>
      </c>
      <c r="D61" t="s">
        <v>151</v>
      </c>
      <c r="E61" s="16">
        <v>45408</v>
      </c>
      <c r="F61" t="s">
        <v>149</v>
      </c>
      <c r="G61">
        <v>35</v>
      </c>
      <c r="H61">
        <f t="shared" si="1"/>
        <v>154</v>
      </c>
      <c r="I61">
        <v>154</v>
      </c>
      <c r="L61">
        <v>159</v>
      </c>
      <c r="O61">
        <f>Tabla5[[#This Row],[Taladros Simples]]+Tabla5[[#This Row],[Taladros Dobles]]+Tabla5[[#This Row],[Taladros Triples]]</f>
        <v>159</v>
      </c>
      <c r="Q61" s="17">
        <v>125</v>
      </c>
      <c r="S61" s="17">
        <v>316</v>
      </c>
      <c r="U61" t="s">
        <v>158</v>
      </c>
      <c r="V61">
        <v>55</v>
      </c>
      <c r="W61">
        <v>200</v>
      </c>
      <c r="Y61">
        <v>0</v>
      </c>
      <c r="Z61">
        <v>0</v>
      </c>
      <c r="AA61">
        <v>0</v>
      </c>
      <c r="AB61">
        <v>0</v>
      </c>
      <c r="AE61">
        <v>3.32</v>
      </c>
      <c r="AF61" t="e">
        <f>-#REF!</f>
        <v>#REF!</v>
      </c>
      <c r="AP61" t="str">
        <f t="shared" si="3"/>
        <v>GAL 01 y GAL 02-Vol 35</v>
      </c>
      <c r="AQ61" t="s">
        <v>148</v>
      </c>
    </row>
    <row r="62" spans="1:43" ht="14.4" x14ac:dyDescent="0.3">
      <c r="A62" s="30">
        <v>36</v>
      </c>
      <c r="B62" s="12" t="s">
        <v>144</v>
      </c>
      <c r="C62">
        <v>2024</v>
      </c>
      <c r="D62" t="s">
        <v>151</v>
      </c>
      <c r="E62" s="16">
        <v>45409</v>
      </c>
      <c r="F62" t="s">
        <v>149</v>
      </c>
      <c r="G62">
        <v>36</v>
      </c>
      <c r="H62">
        <f t="shared" si="1"/>
        <v>156</v>
      </c>
      <c r="I62">
        <v>156</v>
      </c>
      <c r="L62">
        <v>151</v>
      </c>
      <c r="O62">
        <f>Tabla5[[#This Row],[Taladros Simples]]+Tabla5[[#This Row],[Taladros Dobles]]+Tabla5[[#This Row],[Taladros Triples]]</f>
        <v>151</v>
      </c>
      <c r="Q62" s="17">
        <v>163</v>
      </c>
      <c r="S62" s="17">
        <v>332</v>
      </c>
      <c r="U62" t="s">
        <v>166</v>
      </c>
      <c r="V62">
        <v>70</v>
      </c>
      <c r="W62">
        <v>200</v>
      </c>
      <c r="Y62">
        <v>0</v>
      </c>
      <c r="Z62">
        <v>0</v>
      </c>
      <c r="AA62">
        <v>0</v>
      </c>
      <c r="AB62">
        <v>0</v>
      </c>
      <c r="AE62">
        <v>3.63</v>
      </c>
      <c r="AF62" t="e">
        <f>-#REF!</f>
        <v>#REF!</v>
      </c>
      <c r="AP62" t="str">
        <f t="shared" si="3"/>
        <v>GAL 01 y GAL 02-Vol 36</v>
      </c>
      <c r="AQ62" t="s">
        <v>167</v>
      </c>
    </row>
    <row r="63" spans="1:43" ht="14.4" x14ac:dyDescent="0.3">
      <c r="A63" s="30" t="s">
        <v>163</v>
      </c>
      <c r="B63" s="12" t="s">
        <v>144</v>
      </c>
      <c r="C63">
        <v>2024</v>
      </c>
      <c r="D63" t="s">
        <v>151</v>
      </c>
      <c r="E63" s="16">
        <v>45409</v>
      </c>
      <c r="F63" t="s">
        <v>149</v>
      </c>
      <c r="H63">
        <f t="shared" si="1"/>
        <v>7</v>
      </c>
      <c r="I63">
        <v>7</v>
      </c>
      <c r="O63">
        <v>7</v>
      </c>
      <c r="S63" s="17">
        <v>4</v>
      </c>
      <c r="U63" t="s">
        <v>166</v>
      </c>
      <c r="AE63">
        <v>0.8</v>
      </c>
      <c r="AF63" t="e">
        <f>-#REF!</f>
        <v>#REF!</v>
      </c>
      <c r="AP63" t="str">
        <f t="shared" si="3"/>
        <v xml:space="preserve">GAL 01 y GAL 02-Vol </v>
      </c>
      <c r="AQ63" t="s">
        <v>165</v>
      </c>
    </row>
    <row r="64" spans="1:43" ht="14.4" x14ac:dyDescent="0.3">
      <c r="A64" s="30">
        <v>37</v>
      </c>
      <c r="B64" s="12" t="s">
        <v>144</v>
      </c>
      <c r="C64">
        <v>2024</v>
      </c>
      <c r="D64" t="s">
        <v>151</v>
      </c>
      <c r="E64" s="16">
        <v>45410</v>
      </c>
      <c r="F64" t="s">
        <v>149</v>
      </c>
      <c r="G64">
        <v>37</v>
      </c>
      <c r="H64">
        <f t="shared" si="1"/>
        <v>160</v>
      </c>
      <c r="I64">
        <v>160</v>
      </c>
      <c r="L64">
        <v>159</v>
      </c>
      <c r="O64">
        <v>159</v>
      </c>
      <c r="Q64" s="17">
        <v>131</v>
      </c>
      <c r="S64" s="17">
        <v>363</v>
      </c>
      <c r="U64" t="s">
        <v>166</v>
      </c>
      <c r="V64">
        <v>70</v>
      </c>
      <c r="W64">
        <v>200</v>
      </c>
      <c r="Y64">
        <v>0</v>
      </c>
      <c r="Z64">
        <v>0</v>
      </c>
      <c r="AA64">
        <v>0</v>
      </c>
      <c r="AB64">
        <v>0</v>
      </c>
      <c r="AE64">
        <v>3.9</v>
      </c>
      <c r="AF64" t="e">
        <f>-#REF!</f>
        <v>#REF!</v>
      </c>
      <c r="AP64" t="str">
        <f t="shared" si="3"/>
        <v>GAL 01 y GAL 02-Vol 37</v>
      </c>
      <c r="AQ64" t="s">
        <v>148</v>
      </c>
    </row>
    <row r="65" spans="1:43" ht="14.4" x14ac:dyDescent="0.3">
      <c r="A65" s="30">
        <v>38</v>
      </c>
      <c r="B65" s="12" t="s">
        <v>144</v>
      </c>
      <c r="C65">
        <v>2024</v>
      </c>
      <c r="D65" t="s">
        <v>151</v>
      </c>
      <c r="E65" s="16">
        <v>45411</v>
      </c>
      <c r="F65" t="s">
        <v>149</v>
      </c>
      <c r="G65">
        <v>38</v>
      </c>
      <c r="H65">
        <f t="shared" si="1"/>
        <v>162</v>
      </c>
      <c r="I65">
        <v>162</v>
      </c>
      <c r="L65">
        <v>157</v>
      </c>
      <c r="O65">
        <f>Tabla5[[#This Row],[Taladros Simples]]+Tabla5[[#This Row],[Taladros Dobles]]+Tabla5[[#This Row],[Taladros Triples]]</f>
        <v>157</v>
      </c>
      <c r="Q65" s="17">
        <v>137</v>
      </c>
      <c r="S65" s="17">
        <v>373</v>
      </c>
      <c r="U65" t="s">
        <v>166</v>
      </c>
      <c r="V65">
        <v>70</v>
      </c>
      <c r="W65">
        <v>200</v>
      </c>
      <c r="Y65">
        <v>0</v>
      </c>
      <c r="Z65">
        <v>0</v>
      </c>
      <c r="AA65">
        <v>0</v>
      </c>
      <c r="AB65">
        <v>0</v>
      </c>
      <c r="AE65">
        <v>3.75</v>
      </c>
      <c r="AF65" t="e">
        <f>-#REF!</f>
        <v>#REF!</v>
      </c>
      <c r="AP65" t="str">
        <f t="shared" si="3"/>
        <v>GAL 01 y GAL 02-Vol 38</v>
      </c>
      <c r="AQ65" t="s">
        <v>148</v>
      </c>
    </row>
    <row r="66" spans="1:43" ht="14.4" x14ac:dyDescent="0.3">
      <c r="A66" s="30">
        <v>39</v>
      </c>
      <c r="B66" s="12" t="s">
        <v>144</v>
      </c>
      <c r="C66">
        <v>2024</v>
      </c>
      <c r="D66" t="s">
        <v>151</v>
      </c>
      <c r="E66" s="16">
        <v>45412</v>
      </c>
      <c r="F66" t="s">
        <v>149</v>
      </c>
      <c r="G66">
        <f>Tabla5[[#This Row],[N°¨Vold.]]</f>
        <v>39</v>
      </c>
      <c r="H66">
        <f t="shared" si="1"/>
        <v>151</v>
      </c>
      <c r="I66">
        <v>151</v>
      </c>
      <c r="L66">
        <v>157</v>
      </c>
      <c r="O66">
        <f>Tabla5[[#This Row],[Taladros Simples]]+Tabla5[[#This Row],[Taladros Dobles]]+Tabla5[[#This Row],[Taladros Triples]]</f>
        <v>157</v>
      </c>
      <c r="Q66" s="17">
        <v>71</v>
      </c>
      <c r="S66" s="17">
        <v>301</v>
      </c>
      <c r="U66" t="s">
        <v>166</v>
      </c>
      <c r="V66">
        <v>35</v>
      </c>
      <c r="W66">
        <v>200</v>
      </c>
      <c r="Y66">
        <v>0</v>
      </c>
      <c r="Z66">
        <v>0</v>
      </c>
      <c r="AA66">
        <v>0</v>
      </c>
      <c r="AB66">
        <v>0</v>
      </c>
      <c r="AE66">
        <v>3.7</v>
      </c>
      <c r="AF66" t="e">
        <f>-#REF!</f>
        <v>#REF!</v>
      </c>
      <c r="AP66" t="str">
        <f t="shared" ref="AP66:AP72" si="4">CONCATENATE(F66,"-","Vol"," ",G66)</f>
        <v>GAL 01 y GAL 02-Vol 39</v>
      </c>
      <c r="AQ66" t="s">
        <v>148</v>
      </c>
    </row>
    <row r="67" spans="1:43" ht="14.4" x14ac:dyDescent="0.3">
      <c r="A67" s="30">
        <v>40</v>
      </c>
      <c r="B67" s="12" t="s">
        <v>144</v>
      </c>
      <c r="C67">
        <v>2024</v>
      </c>
      <c r="D67" t="s">
        <v>151</v>
      </c>
      <c r="E67" s="16">
        <v>45412</v>
      </c>
      <c r="F67" t="s">
        <v>149</v>
      </c>
      <c r="G67">
        <v>40</v>
      </c>
      <c r="H67">
        <f t="shared" si="1"/>
        <v>114</v>
      </c>
      <c r="I67">
        <v>114</v>
      </c>
      <c r="L67">
        <v>157</v>
      </c>
      <c r="O67">
        <f>Tabla5[[#This Row],[Taladros Simples]]+Tabla5[[#This Row],[Taladros Dobles]]+Tabla5[[#This Row],[Taladros Triples]]</f>
        <v>157</v>
      </c>
      <c r="Q67" s="17">
        <v>115</v>
      </c>
      <c r="S67" s="17">
        <v>378</v>
      </c>
      <c r="U67" t="s">
        <v>168</v>
      </c>
      <c r="V67">
        <v>72</v>
      </c>
      <c r="W67">
        <v>200</v>
      </c>
      <c r="Y67">
        <v>0</v>
      </c>
      <c r="Z67">
        <v>0</v>
      </c>
      <c r="AA67">
        <v>0</v>
      </c>
      <c r="AB67">
        <v>0</v>
      </c>
      <c r="AE67">
        <v>2.8</v>
      </c>
      <c r="AF67" t="e">
        <f>-#REF!</f>
        <v>#REF!</v>
      </c>
      <c r="AP67" t="str">
        <f t="shared" si="4"/>
        <v>GAL 01 y GAL 02-Vol 40</v>
      </c>
      <c r="AQ67" t="s">
        <v>148</v>
      </c>
    </row>
    <row r="68" spans="1:43" ht="14.4" x14ac:dyDescent="0.3">
      <c r="A68" s="30">
        <v>41</v>
      </c>
      <c r="B68" s="12" t="s">
        <v>144</v>
      </c>
      <c r="C68">
        <v>2024</v>
      </c>
      <c r="D68" t="s">
        <v>169</v>
      </c>
      <c r="E68" s="16">
        <v>45413</v>
      </c>
      <c r="F68" t="s">
        <v>149</v>
      </c>
      <c r="G68">
        <v>41</v>
      </c>
      <c r="H68">
        <f t="shared" si="1"/>
        <v>177</v>
      </c>
      <c r="I68">
        <v>177</v>
      </c>
      <c r="L68">
        <v>172</v>
      </c>
      <c r="O68">
        <f>Tabla5[[#This Row],[Taladros Simples]]+Tabla5[[#This Row],[Taladros Dobles]]+Tabla5[[#This Row],[Taladros Triples]]</f>
        <v>172</v>
      </c>
      <c r="Q68" s="17">
        <v>213</v>
      </c>
      <c r="S68" s="17">
        <v>472</v>
      </c>
      <c r="U68" t="s">
        <v>170</v>
      </c>
      <c r="V68">
        <v>28</v>
      </c>
      <c r="W68">
        <v>200</v>
      </c>
      <c r="Y68">
        <v>0</v>
      </c>
      <c r="Z68">
        <v>0</v>
      </c>
      <c r="AA68">
        <v>0</v>
      </c>
      <c r="AB68">
        <v>0</v>
      </c>
      <c r="AE68">
        <v>4.2</v>
      </c>
      <c r="AF68" t="e">
        <f>-#REF!</f>
        <v>#REF!</v>
      </c>
      <c r="AP68" t="str">
        <f t="shared" si="4"/>
        <v>GAL 01 y GAL 02-Vol 41</v>
      </c>
      <c r="AQ68" t="s">
        <v>148</v>
      </c>
    </row>
    <row r="69" spans="1:43" ht="14.4" x14ac:dyDescent="0.3">
      <c r="A69" s="30">
        <v>42</v>
      </c>
      <c r="B69" s="12" t="s">
        <v>144</v>
      </c>
      <c r="C69">
        <v>2024</v>
      </c>
      <c r="D69" t="s">
        <v>169</v>
      </c>
      <c r="E69" s="16">
        <v>45414</v>
      </c>
      <c r="F69" t="s">
        <v>149</v>
      </c>
      <c r="G69">
        <v>42</v>
      </c>
      <c r="H69">
        <f t="shared" si="1"/>
        <v>151</v>
      </c>
      <c r="I69">
        <v>151</v>
      </c>
      <c r="L69">
        <v>150</v>
      </c>
      <c r="O69">
        <f>Tabla5[[#This Row],[Taladros Simples]]+Tabla5[[#This Row],[Taladros Dobles]]+Tabla5[[#This Row],[Taladros Triples]]</f>
        <v>150</v>
      </c>
      <c r="Q69" s="17">
        <v>91</v>
      </c>
      <c r="S69" s="17">
        <v>350</v>
      </c>
      <c r="U69" t="s">
        <v>171</v>
      </c>
      <c r="V69">
        <v>56</v>
      </c>
      <c r="W69">
        <v>200</v>
      </c>
      <c r="Y69">
        <v>0</v>
      </c>
      <c r="Z69">
        <v>0</v>
      </c>
      <c r="AA69">
        <v>0</v>
      </c>
      <c r="AB69">
        <v>0</v>
      </c>
      <c r="AE69">
        <v>3.45</v>
      </c>
      <c r="AF69" t="e">
        <f>-#REF!</f>
        <v>#REF!</v>
      </c>
      <c r="AP69" t="str">
        <f t="shared" si="4"/>
        <v>GAL 01 y GAL 02-Vol 42</v>
      </c>
      <c r="AQ69" t="s">
        <v>148</v>
      </c>
    </row>
    <row r="70" spans="1:43" ht="14.4" x14ac:dyDescent="0.3">
      <c r="A70" s="30">
        <v>43</v>
      </c>
      <c r="B70" s="12" t="s">
        <v>144</v>
      </c>
      <c r="C70">
        <v>2024</v>
      </c>
      <c r="D70" t="s">
        <v>169</v>
      </c>
      <c r="E70" s="16">
        <v>45414</v>
      </c>
      <c r="F70" t="s">
        <v>149</v>
      </c>
      <c r="G70">
        <v>43</v>
      </c>
      <c r="H70">
        <f t="shared" si="1"/>
        <v>167</v>
      </c>
      <c r="I70">
        <v>167</v>
      </c>
      <c r="L70">
        <v>161</v>
      </c>
      <c r="O70">
        <f>Tabla5[[#This Row],[Taladros Simples]]+Tabla5[[#This Row],[Taladros Dobles]]+Tabla5[[#This Row],[Taladros Triples]]</f>
        <v>161</v>
      </c>
      <c r="Q70" s="17">
        <v>145</v>
      </c>
      <c r="S70" s="17">
        <v>551</v>
      </c>
      <c r="U70" t="s">
        <v>171</v>
      </c>
      <c r="V70">
        <v>74</v>
      </c>
      <c r="W70">
        <v>200</v>
      </c>
      <c r="Y70">
        <v>0</v>
      </c>
      <c r="Z70">
        <v>0</v>
      </c>
      <c r="AA70">
        <v>0</v>
      </c>
      <c r="AB70">
        <v>0</v>
      </c>
      <c r="AE70">
        <v>3.8</v>
      </c>
      <c r="AF70" t="e">
        <f>-#REF!</f>
        <v>#REF!</v>
      </c>
      <c r="AP70" t="str">
        <f t="shared" si="4"/>
        <v>GAL 01 y GAL 02-Vol 43</v>
      </c>
      <c r="AQ70" t="s">
        <v>148</v>
      </c>
    </row>
    <row r="71" spans="1:43" ht="14.4" x14ac:dyDescent="0.3">
      <c r="A71" s="30">
        <v>44</v>
      </c>
      <c r="B71" s="12" t="s">
        <v>144</v>
      </c>
      <c r="C71">
        <v>2024</v>
      </c>
      <c r="D71" t="s">
        <v>169</v>
      </c>
      <c r="E71" s="16">
        <v>45415</v>
      </c>
      <c r="F71" t="s">
        <v>149</v>
      </c>
      <c r="G71">
        <v>44</v>
      </c>
      <c r="H71">
        <f t="shared" si="1"/>
        <v>170</v>
      </c>
      <c r="I71">
        <v>170</v>
      </c>
      <c r="L71">
        <v>165</v>
      </c>
      <c r="M71">
        <v>5</v>
      </c>
      <c r="N71">
        <v>0</v>
      </c>
      <c r="O71">
        <f>Tabla5[[#This Row],[Taladros Simples]]+Tabla5[[#This Row],[Taladros Dobles]]+Tabla5[[#This Row],[Taladros Triples]]</f>
        <v>170</v>
      </c>
      <c r="Q71" s="17">
        <v>135</v>
      </c>
      <c r="S71" s="17">
        <v>570</v>
      </c>
      <c r="U71" t="s">
        <v>172</v>
      </c>
      <c r="V71">
        <v>80</v>
      </c>
      <c r="W71">
        <v>200</v>
      </c>
      <c r="Y71">
        <v>0</v>
      </c>
      <c r="Z71">
        <v>0</v>
      </c>
      <c r="AA71">
        <v>0</v>
      </c>
      <c r="AB71">
        <v>0</v>
      </c>
      <c r="AE71">
        <v>3.9</v>
      </c>
      <c r="AF71" t="e">
        <f>-#REF!</f>
        <v>#REF!</v>
      </c>
      <c r="AP71" t="str">
        <f t="shared" si="4"/>
        <v>GAL 01 y GAL 02-Vol 44</v>
      </c>
    </row>
    <row r="72" spans="1:43" ht="14.4" x14ac:dyDescent="0.3">
      <c r="A72" s="30">
        <v>45</v>
      </c>
      <c r="B72" s="12" t="s">
        <v>144</v>
      </c>
      <c r="C72">
        <v>2024</v>
      </c>
      <c r="D72" t="s">
        <v>169</v>
      </c>
      <c r="E72" s="16">
        <v>45416</v>
      </c>
      <c r="F72" t="s">
        <v>149</v>
      </c>
      <c r="G72">
        <v>45</v>
      </c>
      <c r="H72">
        <f t="shared" si="1"/>
        <v>180</v>
      </c>
      <c r="I72">
        <v>180</v>
      </c>
      <c r="L72">
        <v>175</v>
      </c>
      <c r="M72">
        <v>5</v>
      </c>
      <c r="N72">
        <v>0</v>
      </c>
      <c r="O72">
        <f>Tabla5[[#This Row],[Taladros Simples]]+Tabla5[[#This Row],[Taladros Dobles]]+Tabla5[[#This Row],[Taladros Triples]]</f>
        <v>180</v>
      </c>
      <c r="Q72" s="17">
        <v>112</v>
      </c>
      <c r="S72" s="17">
        <v>616</v>
      </c>
      <c r="U72" t="s">
        <v>173</v>
      </c>
      <c r="V72">
        <v>91</v>
      </c>
      <c r="W72">
        <v>200</v>
      </c>
      <c r="Y72">
        <v>0</v>
      </c>
      <c r="Z72">
        <v>0</v>
      </c>
      <c r="AA72">
        <v>0</v>
      </c>
      <c r="AB72">
        <v>0</v>
      </c>
      <c r="AE72">
        <v>4.03</v>
      </c>
      <c r="AF72" t="e">
        <f>-#REF!</f>
        <v>#REF!</v>
      </c>
      <c r="AP72" t="str">
        <f t="shared" si="4"/>
        <v>GAL 01 y GAL 02-Vol 45</v>
      </c>
    </row>
    <row r="73" spans="1:43" ht="14.4" x14ac:dyDescent="0.3">
      <c r="A73" s="30">
        <v>46</v>
      </c>
      <c r="B73" s="12" t="s">
        <v>144</v>
      </c>
      <c r="C73">
        <v>2024</v>
      </c>
      <c r="D73" t="s">
        <v>169</v>
      </c>
      <c r="E73" s="16">
        <v>45417</v>
      </c>
      <c r="F73" t="s">
        <v>149</v>
      </c>
      <c r="G73">
        <v>46</v>
      </c>
      <c r="H73">
        <f t="shared" si="1"/>
        <v>180</v>
      </c>
      <c r="I73">
        <v>180</v>
      </c>
      <c r="L73">
        <v>175</v>
      </c>
      <c r="M73">
        <v>5</v>
      </c>
      <c r="N73">
        <v>0</v>
      </c>
      <c r="O73">
        <f>Tabla5[[#This Row],[Taladros Simples]]+Tabla5[[#This Row],[Taladros Dobles]]+Tabla5[[#This Row],[Taladros Triples]]</f>
        <v>180</v>
      </c>
      <c r="Q73" s="17">
        <v>164</v>
      </c>
      <c r="S73" s="17">
        <v>626</v>
      </c>
      <c r="U73" t="s">
        <v>173</v>
      </c>
      <c r="V73">
        <v>120</v>
      </c>
      <c r="W73">
        <v>200</v>
      </c>
      <c r="Y73">
        <v>0</v>
      </c>
      <c r="Z73">
        <v>0</v>
      </c>
      <c r="AA73">
        <v>0</v>
      </c>
      <c r="AB73">
        <v>0</v>
      </c>
      <c r="AE73">
        <v>4.03</v>
      </c>
      <c r="AF73" t="e">
        <f>-#REF!</f>
        <v>#REF!</v>
      </c>
      <c r="AP73" t="str">
        <f t="shared" ref="AP73:AP79" si="5">CONCATENATE(F73,"-","Vol"," ",G73)</f>
        <v>GAL 01 y GAL 02-Vol 46</v>
      </c>
    </row>
    <row r="74" spans="1:43" ht="14.4" x14ac:dyDescent="0.3">
      <c r="A74" s="30">
        <v>47</v>
      </c>
      <c r="B74" s="12" t="s">
        <v>144</v>
      </c>
      <c r="C74">
        <v>2024</v>
      </c>
      <c r="D74" t="s">
        <v>169</v>
      </c>
      <c r="E74" s="16">
        <v>45418</v>
      </c>
      <c r="F74" t="s">
        <v>149</v>
      </c>
      <c r="G74">
        <v>47</v>
      </c>
      <c r="H74">
        <f t="shared" si="1"/>
        <v>170</v>
      </c>
      <c r="I74">
        <v>170</v>
      </c>
      <c r="L74">
        <v>170</v>
      </c>
      <c r="M74">
        <v>0</v>
      </c>
      <c r="N74">
        <v>0</v>
      </c>
      <c r="O74">
        <f>Tabla5[[#This Row],[Taladros Simples]]+Tabla5[[#This Row],[Taladros Dobles]]+Tabla5[[#This Row],[Taladros Triples]]</f>
        <v>170</v>
      </c>
      <c r="Q74" s="17">
        <v>70</v>
      </c>
      <c r="S74" s="17">
        <v>376</v>
      </c>
      <c r="U74" t="s">
        <v>173</v>
      </c>
      <c r="V74">
        <v>51</v>
      </c>
      <c r="W74">
        <v>200</v>
      </c>
      <c r="Y74">
        <v>0</v>
      </c>
      <c r="Z74">
        <v>0</v>
      </c>
      <c r="AA74">
        <v>0</v>
      </c>
      <c r="AB74">
        <v>0</v>
      </c>
      <c r="AE74">
        <v>4.0999999999999996</v>
      </c>
      <c r="AF74" t="e">
        <f>-#REF!</f>
        <v>#REF!</v>
      </c>
      <c r="AP74" t="str">
        <f t="shared" si="5"/>
        <v>GAL 01 y GAL 02-Vol 47</v>
      </c>
    </row>
    <row r="75" spans="1:43" ht="14.4" x14ac:dyDescent="0.3">
      <c r="A75" s="30" t="s">
        <v>163</v>
      </c>
      <c r="B75" s="12" t="s">
        <v>144</v>
      </c>
      <c r="C75">
        <v>2024</v>
      </c>
      <c r="D75" t="s">
        <v>169</v>
      </c>
      <c r="E75" s="16">
        <v>45418</v>
      </c>
      <c r="F75" t="s">
        <v>149</v>
      </c>
      <c r="H75">
        <f t="shared" si="1"/>
        <v>1</v>
      </c>
      <c r="I75">
        <v>1</v>
      </c>
      <c r="L75">
        <v>0</v>
      </c>
      <c r="M75">
        <v>0</v>
      </c>
      <c r="N75">
        <v>0</v>
      </c>
      <c r="O75">
        <f>Tabla5[[#This Row],[Taladros Simples]]+Tabla5[[#This Row],[Taladros Dobles]]+Tabla5[[#This Row],[Taladros Triples]]</f>
        <v>0</v>
      </c>
      <c r="Q75" s="17">
        <v>0</v>
      </c>
      <c r="S75" s="17">
        <v>0</v>
      </c>
      <c r="U75" t="s">
        <v>173</v>
      </c>
      <c r="AD75">
        <v>2</v>
      </c>
      <c r="AE75">
        <v>4.1500000000000004</v>
      </c>
      <c r="AF75" t="e">
        <f>-#REF!</f>
        <v>#REF!</v>
      </c>
      <c r="AP75" t="str">
        <f t="shared" si="5"/>
        <v xml:space="preserve">GAL 01 y GAL 02-Vol </v>
      </c>
      <c r="AQ75" t="s">
        <v>174</v>
      </c>
    </row>
    <row r="76" spans="1:43" ht="14.4" x14ac:dyDescent="0.3">
      <c r="A76" s="30">
        <v>48</v>
      </c>
      <c r="B76" s="12" t="s">
        <v>144</v>
      </c>
      <c r="C76">
        <v>2024</v>
      </c>
      <c r="D76" t="s">
        <v>169</v>
      </c>
      <c r="E76" s="16">
        <v>45418</v>
      </c>
      <c r="F76" t="s">
        <v>149</v>
      </c>
      <c r="G76">
        <v>48</v>
      </c>
      <c r="H76">
        <f t="shared" si="1"/>
        <v>184</v>
      </c>
      <c r="I76">
        <v>184</v>
      </c>
      <c r="L76">
        <v>179</v>
      </c>
      <c r="M76">
        <v>5</v>
      </c>
      <c r="N76">
        <v>0</v>
      </c>
      <c r="O76">
        <f>Tabla5[[#This Row],[Taladros Simples]]+Tabla5[[#This Row],[Taladros Dobles]]+Tabla5[[#This Row],[Taladros Triples]]</f>
        <v>184</v>
      </c>
      <c r="Q76" s="17">
        <v>144</v>
      </c>
      <c r="S76" s="17">
        <v>469</v>
      </c>
      <c r="U76" t="s">
        <v>175</v>
      </c>
      <c r="V76">
        <v>80</v>
      </c>
      <c r="W76">
        <v>200</v>
      </c>
      <c r="Y76">
        <v>0</v>
      </c>
      <c r="Z76">
        <v>0</v>
      </c>
      <c r="AA76">
        <v>0</v>
      </c>
      <c r="AB76">
        <v>0</v>
      </c>
      <c r="AE76">
        <v>4.04</v>
      </c>
      <c r="AF76" t="e">
        <f>-#REF!</f>
        <v>#REF!</v>
      </c>
      <c r="AP76" t="str">
        <f t="shared" si="5"/>
        <v>GAL 01 y GAL 02-Vol 48</v>
      </c>
      <c r="AQ76" t="s">
        <v>148</v>
      </c>
    </row>
    <row r="77" spans="1:43" ht="14.4" x14ac:dyDescent="0.3">
      <c r="A77" s="30">
        <v>49</v>
      </c>
      <c r="B77" s="12" t="s">
        <v>144</v>
      </c>
      <c r="C77">
        <v>2024</v>
      </c>
      <c r="D77" t="s">
        <v>169</v>
      </c>
      <c r="E77" s="16">
        <v>45419</v>
      </c>
      <c r="F77" t="s">
        <v>149</v>
      </c>
      <c r="G77">
        <v>49</v>
      </c>
      <c r="H77">
        <f t="shared" si="1"/>
        <v>179</v>
      </c>
      <c r="I77">
        <v>179</v>
      </c>
      <c r="L77">
        <v>174</v>
      </c>
      <c r="M77">
        <v>5</v>
      </c>
      <c r="N77">
        <v>0</v>
      </c>
      <c r="O77">
        <f>Tabla5[[#This Row],[Taladros Simples]]+Tabla5[[#This Row],[Taladros Dobles]]+Tabla5[[#This Row],[Taladros Triples]]</f>
        <v>179</v>
      </c>
      <c r="Q77" s="17">
        <v>160</v>
      </c>
      <c r="S77" s="17">
        <v>477</v>
      </c>
      <c r="U77" t="s">
        <v>176</v>
      </c>
      <c r="V77">
        <v>68</v>
      </c>
      <c r="W77">
        <v>200</v>
      </c>
      <c r="Y77">
        <v>0</v>
      </c>
      <c r="Z77">
        <v>0</v>
      </c>
      <c r="AA77">
        <v>0</v>
      </c>
      <c r="AB77">
        <v>0</v>
      </c>
      <c r="AE77">
        <v>4.0999999999999996</v>
      </c>
      <c r="AF77" t="e">
        <f>-#REF!</f>
        <v>#REF!</v>
      </c>
      <c r="AP77" t="str">
        <f t="shared" si="5"/>
        <v>GAL 01 y GAL 02-Vol 49</v>
      </c>
      <c r="AQ77" t="s">
        <v>148</v>
      </c>
    </row>
    <row r="78" spans="1:43" ht="14.4" x14ac:dyDescent="0.3">
      <c r="A78" s="30">
        <v>50</v>
      </c>
      <c r="B78" s="12" t="s">
        <v>144</v>
      </c>
      <c r="C78">
        <v>2024</v>
      </c>
      <c r="D78" t="s">
        <v>169</v>
      </c>
      <c r="E78" s="16">
        <v>45419</v>
      </c>
      <c r="F78" t="s">
        <v>149</v>
      </c>
      <c r="G78">
        <v>50</v>
      </c>
      <c r="H78">
        <f t="shared" si="1"/>
        <v>173</v>
      </c>
      <c r="I78">
        <v>173</v>
      </c>
      <c r="L78">
        <v>173</v>
      </c>
      <c r="M78">
        <v>0</v>
      </c>
      <c r="N78">
        <v>0</v>
      </c>
      <c r="O78">
        <f>Tabla5[[#This Row],[Taladros Simples]]+Tabla5[[#This Row],[Taladros Dobles]]+Tabla5[[#This Row],[Taladros Triples]]</f>
        <v>173</v>
      </c>
      <c r="Q78" s="17">
        <v>156</v>
      </c>
      <c r="S78" s="17">
        <v>445</v>
      </c>
      <c r="U78" t="s">
        <v>173</v>
      </c>
      <c r="V78">
        <v>70</v>
      </c>
      <c r="W78">
        <v>200</v>
      </c>
      <c r="Y78">
        <v>0</v>
      </c>
      <c r="Z78">
        <v>0</v>
      </c>
      <c r="AA78">
        <v>0</v>
      </c>
      <c r="AB78">
        <v>0</v>
      </c>
      <c r="AE78">
        <v>4.05</v>
      </c>
      <c r="AF78" t="e">
        <f>-#REF!</f>
        <v>#REF!</v>
      </c>
      <c r="AP78" t="str">
        <f t="shared" si="5"/>
        <v>GAL 01 y GAL 02-Vol 50</v>
      </c>
      <c r="AQ78" t="s">
        <v>148</v>
      </c>
    </row>
    <row r="79" spans="1:43" ht="14.4" x14ac:dyDescent="0.3">
      <c r="A79" s="30">
        <v>51</v>
      </c>
      <c r="B79" s="12" t="s">
        <v>144</v>
      </c>
      <c r="C79">
        <v>2024</v>
      </c>
      <c r="D79" t="s">
        <v>169</v>
      </c>
      <c r="E79" s="16">
        <v>45420</v>
      </c>
      <c r="F79" t="s">
        <v>149</v>
      </c>
      <c r="G79">
        <v>51</v>
      </c>
      <c r="H79">
        <f t="shared" si="1"/>
        <v>169</v>
      </c>
      <c r="I79">
        <v>169</v>
      </c>
      <c r="L79">
        <v>164</v>
      </c>
      <c r="M79">
        <v>5</v>
      </c>
      <c r="N79">
        <v>0</v>
      </c>
      <c r="O79">
        <f>Tabla5[[#This Row],[Taladros Simples]]+Tabla5[[#This Row],[Taladros Dobles]]+Tabla5[[#This Row],[Taladros Triples]]</f>
        <v>169</v>
      </c>
      <c r="Q79" s="17">
        <v>133</v>
      </c>
      <c r="S79" s="17">
        <v>495</v>
      </c>
      <c r="U79" t="s">
        <v>177</v>
      </c>
      <c r="V79">
        <v>65</v>
      </c>
      <c r="W79">
        <v>200</v>
      </c>
      <c r="Y79">
        <v>0</v>
      </c>
      <c r="Z79">
        <v>0</v>
      </c>
      <c r="AA79">
        <v>0</v>
      </c>
      <c r="AB79">
        <v>0</v>
      </c>
      <c r="AE79">
        <v>4.03</v>
      </c>
      <c r="AF79" t="e">
        <f>-#REF!</f>
        <v>#REF!</v>
      </c>
      <c r="AP79" t="str">
        <f t="shared" si="5"/>
        <v>GAL 01 y GAL 02-Vol 51</v>
      </c>
      <c r="AQ79" t="s">
        <v>148</v>
      </c>
    </row>
    <row r="80" spans="1:43" ht="14.4" x14ac:dyDescent="0.3">
      <c r="A80" s="30">
        <v>52</v>
      </c>
      <c r="B80" s="12" t="s">
        <v>144</v>
      </c>
      <c r="C80">
        <v>2024</v>
      </c>
      <c r="D80" t="s">
        <v>169</v>
      </c>
      <c r="E80" s="16">
        <v>45421</v>
      </c>
      <c r="F80" t="s">
        <v>149</v>
      </c>
      <c r="G80">
        <v>52</v>
      </c>
      <c r="H80">
        <f t="shared" si="1"/>
        <v>174</v>
      </c>
      <c r="I80">
        <v>174</v>
      </c>
      <c r="L80">
        <v>169</v>
      </c>
      <c r="M80">
        <v>5</v>
      </c>
      <c r="N80">
        <v>0</v>
      </c>
      <c r="O80">
        <f>Tabla5[[#This Row],[Taladros Simples]]+Tabla5[[#This Row],[Taladros Dobles]]+Tabla5[[#This Row],[Taladros Triples]]</f>
        <v>174</v>
      </c>
      <c r="Q80" s="17">
        <v>170</v>
      </c>
      <c r="S80" s="17">
        <v>500</v>
      </c>
      <c r="U80" t="s">
        <v>178</v>
      </c>
      <c r="V80">
        <v>73</v>
      </c>
      <c r="W80">
        <v>200</v>
      </c>
      <c r="Y80">
        <v>0</v>
      </c>
      <c r="Z80">
        <v>0</v>
      </c>
      <c r="AA80">
        <v>0</v>
      </c>
      <c r="AB80">
        <v>0</v>
      </c>
      <c r="AE80">
        <v>3.98</v>
      </c>
      <c r="AF80" t="e">
        <f>-#REF!</f>
        <v>#REF!</v>
      </c>
      <c r="AP80" t="str">
        <f t="shared" ref="AP80:AP90" si="6">CONCATENATE(F80,"-","Vol"," ",G80)</f>
        <v>GAL 01 y GAL 02-Vol 52</v>
      </c>
      <c r="AQ80" t="s">
        <v>148</v>
      </c>
    </row>
    <row r="81" spans="1:43" ht="14.4" x14ac:dyDescent="0.3">
      <c r="A81" s="30">
        <v>53</v>
      </c>
      <c r="B81" s="12" t="s">
        <v>144</v>
      </c>
      <c r="C81">
        <v>2024</v>
      </c>
      <c r="D81" t="s">
        <v>169</v>
      </c>
      <c r="E81" s="16">
        <v>45422</v>
      </c>
      <c r="F81" t="s">
        <v>149</v>
      </c>
      <c r="G81">
        <v>53</v>
      </c>
      <c r="H81">
        <f t="shared" si="1"/>
        <v>109</v>
      </c>
      <c r="I81">
        <v>109</v>
      </c>
      <c r="L81">
        <v>109</v>
      </c>
      <c r="M81">
        <v>0</v>
      </c>
      <c r="N81">
        <v>0</v>
      </c>
      <c r="O81">
        <f>Tabla5[[#This Row],[Taladros Simples]]+Tabla5[[#This Row],[Taladros Dobles]]+Tabla5[[#This Row],[Taladros Triples]]</f>
        <v>109</v>
      </c>
      <c r="Q81" s="17">
        <v>40</v>
      </c>
      <c r="S81" s="17">
        <v>257</v>
      </c>
      <c r="U81" t="s">
        <v>179</v>
      </c>
      <c r="V81">
        <v>24</v>
      </c>
      <c r="W81">
        <v>200</v>
      </c>
      <c r="Y81">
        <v>0</v>
      </c>
      <c r="Z81">
        <v>0</v>
      </c>
      <c r="AA81">
        <v>0</v>
      </c>
      <c r="AB81">
        <v>0</v>
      </c>
      <c r="AE81">
        <v>3.65</v>
      </c>
      <c r="AF81" t="e">
        <f>-#REF!</f>
        <v>#REF!</v>
      </c>
      <c r="AP81" t="str">
        <f t="shared" si="6"/>
        <v>GAL 01 y GAL 02-Vol 53</v>
      </c>
      <c r="AQ81" t="s">
        <v>148</v>
      </c>
    </row>
    <row r="82" spans="1:43" ht="14.4" x14ac:dyDescent="0.3">
      <c r="A82" s="30">
        <v>54</v>
      </c>
      <c r="B82" s="12" t="s">
        <v>144</v>
      </c>
      <c r="C82">
        <v>2024</v>
      </c>
      <c r="D82" t="s">
        <v>169</v>
      </c>
      <c r="E82" s="16">
        <v>45431</v>
      </c>
      <c r="F82" t="s">
        <v>149</v>
      </c>
      <c r="G82">
        <v>54</v>
      </c>
      <c r="H82">
        <f t="shared" si="1"/>
        <v>147</v>
      </c>
      <c r="I82">
        <f>+Tabla5[[#This Row],[N°TOTAL TALADROS CARGADOS]]</f>
        <v>147</v>
      </c>
      <c r="L82">
        <v>147</v>
      </c>
      <c r="O82">
        <f>Tabla5[[#This Row],[Taladros Simples]]+Tabla5[[#This Row],[Taladros Dobles]]+Tabla5[[#This Row],[Taladros Triples]]</f>
        <v>147</v>
      </c>
      <c r="Q82" s="17">
        <v>118</v>
      </c>
      <c r="S82" s="17">
        <v>138</v>
      </c>
      <c r="U82" t="s">
        <v>180</v>
      </c>
      <c r="V82">
        <v>30</v>
      </c>
      <c r="W82">
        <v>200</v>
      </c>
      <c r="Y82">
        <v>0</v>
      </c>
      <c r="Z82">
        <v>0</v>
      </c>
      <c r="AA82">
        <v>0</v>
      </c>
      <c r="AB82">
        <v>0</v>
      </c>
      <c r="AE82">
        <v>3.4</v>
      </c>
      <c r="AF82" t="e">
        <f>-#REF!</f>
        <v>#REF!</v>
      </c>
      <c r="AP82" t="str">
        <f t="shared" si="6"/>
        <v>GAL 01 y GAL 02-Vol 54</v>
      </c>
      <c r="AQ82" t="s">
        <v>148</v>
      </c>
    </row>
    <row r="83" spans="1:43" ht="14.4" x14ac:dyDescent="0.3">
      <c r="A83" s="30">
        <v>55</v>
      </c>
      <c r="B83" s="12" t="s">
        <v>144</v>
      </c>
      <c r="C83">
        <v>2024</v>
      </c>
      <c r="D83" t="s">
        <v>169</v>
      </c>
      <c r="E83" s="16">
        <v>45431</v>
      </c>
      <c r="F83" t="s">
        <v>149</v>
      </c>
      <c r="G83">
        <v>55</v>
      </c>
      <c r="H83">
        <f t="shared" si="1"/>
        <v>150</v>
      </c>
      <c r="I83">
        <f>+Tabla5[[#This Row],[N°TOTAL TALADROS CARGADOS]]</f>
        <v>150</v>
      </c>
      <c r="L83">
        <v>150</v>
      </c>
      <c r="O83">
        <f>Tabla5[[#This Row],[Taladros Simples]]+Tabla5[[#This Row],[Taladros Dobles]]+Tabla5[[#This Row],[Taladros Triples]]</f>
        <v>150</v>
      </c>
      <c r="Q83" s="17">
        <v>75</v>
      </c>
      <c r="S83" s="17">
        <v>237</v>
      </c>
      <c r="U83" t="s">
        <v>180</v>
      </c>
      <c r="V83">
        <v>40</v>
      </c>
      <c r="W83">
        <v>200</v>
      </c>
      <c r="Y83">
        <v>0</v>
      </c>
      <c r="Z83">
        <v>0</v>
      </c>
      <c r="AA83">
        <v>0</v>
      </c>
      <c r="AB83">
        <v>0</v>
      </c>
      <c r="AE83">
        <v>3.47</v>
      </c>
      <c r="AF83" t="e">
        <f>-#REF!</f>
        <v>#REF!</v>
      </c>
      <c r="AP83" t="str">
        <f t="shared" si="6"/>
        <v>GAL 01 y GAL 02-Vol 55</v>
      </c>
      <c r="AQ83" t="s">
        <v>148</v>
      </c>
    </row>
    <row r="84" spans="1:43" ht="14.4" x14ac:dyDescent="0.3">
      <c r="A84" s="30">
        <v>56</v>
      </c>
      <c r="B84" s="12" t="s">
        <v>144</v>
      </c>
      <c r="C84">
        <v>2024</v>
      </c>
      <c r="D84" t="s">
        <v>181</v>
      </c>
      <c r="E84" s="16">
        <v>45432</v>
      </c>
      <c r="F84" t="s">
        <v>149</v>
      </c>
      <c r="G84">
        <v>56</v>
      </c>
      <c r="H84">
        <f t="shared" si="1"/>
        <v>148</v>
      </c>
      <c r="I84">
        <f>+Tabla5[[#This Row],[N°TOTAL TALADROS CARGADOS]]</f>
        <v>148</v>
      </c>
      <c r="L84">
        <v>148</v>
      </c>
      <c r="O84">
        <f>Tabla5[[#This Row],[Taladros Simples]]+Tabla5[[#This Row],[Taladros Dobles]]+Tabla5[[#This Row],[Taladros Triples]]</f>
        <v>148</v>
      </c>
      <c r="Q84" s="17">
        <v>90</v>
      </c>
      <c r="S84" s="17">
        <v>240</v>
      </c>
      <c r="U84" t="s">
        <v>180</v>
      </c>
      <c r="V84">
        <v>31</v>
      </c>
      <c r="W84">
        <v>200</v>
      </c>
      <c r="Y84">
        <v>0</v>
      </c>
      <c r="Z84">
        <v>0</v>
      </c>
      <c r="AA84">
        <v>0</v>
      </c>
      <c r="AB84">
        <v>0</v>
      </c>
      <c r="AE84">
        <v>3.35</v>
      </c>
      <c r="AF84" t="e">
        <f>-#REF!</f>
        <v>#REF!</v>
      </c>
      <c r="AP84" t="str">
        <f t="shared" si="6"/>
        <v>GAL 01 y GAL 02-Vol 56</v>
      </c>
      <c r="AQ84" t="s">
        <v>148</v>
      </c>
    </row>
    <row r="85" spans="1:43" ht="14.4" x14ac:dyDescent="0.3">
      <c r="A85" s="30">
        <v>57</v>
      </c>
      <c r="B85" s="12" t="s">
        <v>144</v>
      </c>
      <c r="C85">
        <v>2024</v>
      </c>
      <c r="D85" t="s">
        <v>182</v>
      </c>
      <c r="E85" s="16">
        <v>45432</v>
      </c>
      <c r="F85" t="s">
        <v>183</v>
      </c>
      <c r="G85">
        <v>57</v>
      </c>
      <c r="H85">
        <f t="shared" si="1"/>
        <v>68</v>
      </c>
      <c r="I85">
        <f>+Tabla5[[#This Row],[N°TOTAL TALADROS CARGADOS]]</f>
        <v>68</v>
      </c>
      <c r="L85">
        <v>68</v>
      </c>
      <c r="O85">
        <f>Tabla5[[#This Row],[Taladros Simples]]+Tabla5[[#This Row],[Taladros Dobles]]+Tabla5[[#This Row],[Taladros Triples]]</f>
        <v>68</v>
      </c>
      <c r="Q85" s="17">
        <v>32</v>
      </c>
      <c r="S85" s="17">
        <v>107</v>
      </c>
      <c r="U85" t="s">
        <v>180</v>
      </c>
      <c r="V85">
        <v>8</v>
      </c>
      <c r="W85">
        <v>200</v>
      </c>
      <c r="Y85">
        <v>0</v>
      </c>
      <c r="Z85">
        <v>0</v>
      </c>
      <c r="AA85">
        <v>0</v>
      </c>
      <c r="AB85">
        <v>0</v>
      </c>
      <c r="AE85">
        <v>1.83</v>
      </c>
      <c r="AF85" t="e">
        <f>-#REF!</f>
        <v>#REF!</v>
      </c>
      <c r="AP85" t="str">
        <f t="shared" si="6"/>
        <v>Desquinche-Vol 57</v>
      </c>
      <c r="AQ85" t="s">
        <v>148</v>
      </c>
    </row>
    <row r="86" spans="1:43" ht="14.4" x14ac:dyDescent="0.3">
      <c r="A86" s="30">
        <v>58</v>
      </c>
      <c r="B86" s="12" t="s">
        <v>144</v>
      </c>
      <c r="C86">
        <v>2024</v>
      </c>
      <c r="D86" t="s">
        <v>182</v>
      </c>
      <c r="E86" s="16">
        <v>45433</v>
      </c>
      <c r="F86" t="s">
        <v>184</v>
      </c>
      <c r="G86">
        <v>58</v>
      </c>
      <c r="H86">
        <f t="shared" si="1"/>
        <v>130</v>
      </c>
      <c r="I86">
        <v>130</v>
      </c>
      <c r="L86">
        <v>125</v>
      </c>
      <c r="O86">
        <f>Tabla5[[#This Row],[Taladros Simples]]+Tabla5[[#This Row],[Taladros Dobles]]+Tabla5[[#This Row],[Taladros Triples]]</f>
        <v>125</v>
      </c>
      <c r="Q86" s="17">
        <v>69</v>
      </c>
      <c r="S86" s="17">
        <v>138.5</v>
      </c>
      <c r="U86" t="s">
        <v>180</v>
      </c>
      <c r="V86">
        <v>23</v>
      </c>
      <c r="W86">
        <v>200</v>
      </c>
      <c r="Y86">
        <v>0</v>
      </c>
      <c r="Z86">
        <v>0</v>
      </c>
      <c r="AA86">
        <v>0</v>
      </c>
      <c r="AB86">
        <v>0</v>
      </c>
      <c r="AE86">
        <v>3.3</v>
      </c>
      <c r="AF86" t="e">
        <f>-#REF!</f>
        <v>#REF!</v>
      </c>
      <c r="AP86" t="str">
        <f t="shared" si="6"/>
        <v>Túnel completo-Vol 58</v>
      </c>
      <c r="AQ86" t="s">
        <v>148</v>
      </c>
    </row>
    <row r="87" spans="1:43" ht="14.4" x14ac:dyDescent="0.3">
      <c r="A87" s="30">
        <v>59</v>
      </c>
      <c r="B87" s="12" t="s">
        <v>144</v>
      </c>
      <c r="C87">
        <v>2024</v>
      </c>
      <c r="D87" t="s">
        <v>182</v>
      </c>
      <c r="E87" s="16">
        <v>45433</v>
      </c>
      <c r="F87" t="s">
        <v>184</v>
      </c>
      <c r="G87">
        <v>59</v>
      </c>
      <c r="H87">
        <f t="shared" si="1"/>
        <v>155</v>
      </c>
      <c r="I87">
        <f>+Tabla5[[#This Row],[N°TOTAL TALADROS CARGADOS]]</f>
        <v>155</v>
      </c>
      <c r="L87">
        <v>155</v>
      </c>
      <c r="O87">
        <f>Tabla5[[#This Row],[Taladros Simples]]+Tabla5[[#This Row],[Taladros Dobles]]+Tabla5[[#This Row],[Taladros Triples]]</f>
        <v>155</v>
      </c>
      <c r="Q87" s="17">
        <v>60</v>
      </c>
      <c r="S87" s="17">
        <v>180</v>
      </c>
      <c r="U87" t="s">
        <v>180</v>
      </c>
      <c r="V87">
        <v>6</v>
      </c>
      <c r="W87">
        <v>200</v>
      </c>
      <c r="Y87">
        <v>0</v>
      </c>
      <c r="Z87">
        <v>0</v>
      </c>
      <c r="AA87">
        <v>0</v>
      </c>
      <c r="AB87">
        <v>0</v>
      </c>
      <c r="AD87">
        <v>3</v>
      </c>
      <c r="AE87">
        <v>3.55</v>
      </c>
      <c r="AF87" t="e">
        <f>-#REF!</f>
        <v>#REF!</v>
      </c>
      <c r="AP87" t="str">
        <f t="shared" si="6"/>
        <v>Túnel completo-Vol 59</v>
      </c>
      <c r="AQ87" t="s">
        <v>185</v>
      </c>
    </row>
    <row r="88" spans="1:43" ht="14.4" x14ac:dyDescent="0.3">
      <c r="A88" s="30">
        <v>60</v>
      </c>
      <c r="B88" s="12" t="s">
        <v>144</v>
      </c>
      <c r="C88">
        <v>2024</v>
      </c>
      <c r="D88" t="s">
        <v>182</v>
      </c>
      <c r="E88" s="16">
        <v>45434</v>
      </c>
      <c r="F88" t="s">
        <v>184</v>
      </c>
      <c r="G88">
        <v>60</v>
      </c>
      <c r="H88">
        <f t="shared" si="1"/>
        <v>147</v>
      </c>
      <c r="I88">
        <v>147</v>
      </c>
      <c r="L88">
        <v>147</v>
      </c>
      <c r="O88">
        <f>Tabla5[[#This Row],[Taladros Simples]]+Tabla5[[#This Row],[Taladros Dobles]]+Tabla5[[#This Row],[Taladros Triples]]</f>
        <v>147</v>
      </c>
      <c r="Q88" s="17">
        <v>53.5</v>
      </c>
      <c r="S88" s="17">
        <v>161</v>
      </c>
      <c r="U88" t="s">
        <v>186</v>
      </c>
      <c r="V88">
        <v>9</v>
      </c>
      <c r="W88">
        <v>200</v>
      </c>
      <c r="Y88">
        <v>0</v>
      </c>
      <c r="Z88">
        <v>0</v>
      </c>
      <c r="AA88">
        <v>0</v>
      </c>
      <c r="AB88">
        <v>0</v>
      </c>
      <c r="AD88">
        <v>1</v>
      </c>
      <c r="AE88">
        <v>3.43</v>
      </c>
      <c r="AF88" t="e">
        <f>-#REF!</f>
        <v>#REF!</v>
      </c>
      <c r="AP88" t="str">
        <f t="shared" si="6"/>
        <v>Túnel completo-Vol 60</v>
      </c>
      <c r="AQ88" t="s">
        <v>187</v>
      </c>
    </row>
    <row r="89" spans="1:43" ht="14.4" x14ac:dyDescent="0.3">
      <c r="A89" s="30">
        <v>61</v>
      </c>
      <c r="B89" s="12" t="s">
        <v>144</v>
      </c>
      <c r="C89">
        <v>2024</v>
      </c>
      <c r="D89" t="s">
        <v>182</v>
      </c>
      <c r="E89" s="16">
        <v>45434</v>
      </c>
      <c r="F89" t="s">
        <v>184</v>
      </c>
      <c r="G89">
        <v>61</v>
      </c>
      <c r="H89">
        <f t="shared" si="1"/>
        <v>156</v>
      </c>
      <c r="I89">
        <v>156</v>
      </c>
      <c r="L89">
        <v>156</v>
      </c>
      <c r="O89">
        <f>Tabla5[[#This Row],[Taladros Simples]]+Tabla5[[#This Row],[Taladros Dobles]]+Tabla5[[#This Row],[Taladros Triples]]</f>
        <v>156</v>
      </c>
      <c r="Q89" s="17">
        <v>85</v>
      </c>
      <c r="S89" s="17">
        <v>188</v>
      </c>
      <c r="U89" t="s">
        <v>188</v>
      </c>
      <c r="V89">
        <v>21</v>
      </c>
      <c r="W89">
        <v>200</v>
      </c>
      <c r="Y89">
        <v>0</v>
      </c>
      <c r="Z89">
        <v>0</v>
      </c>
      <c r="AA89">
        <v>0</v>
      </c>
      <c r="AB89">
        <v>0</v>
      </c>
      <c r="AE89">
        <v>3.56</v>
      </c>
      <c r="AF89" t="e">
        <f>-#REF!</f>
        <v>#REF!</v>
      </c>
      <c r="AP89" t="str">
        <f t="shared" si="6"/>
        <v>Túnel completo-Vol 61</v>
      </c>
      <c r="AQ89" t="s">
        <v>148</v>
      </c>
    </row>
    <row r="90" spans="1:43" ht="14.4" x14ac:dyDescent="0.3">
      <c r="A90" s="30">
        <v>62</v>
      </c>
      <c r="B90" s="12" t="s">
        <v>144</v>
      </c>
      <c r="C90">
        <v>2024</v>
      </c>
      <c r="D90" t="s">
        <v>182</v>
      </c>
      <c r="E90" s="16">
        <v>45435</v>
      </c>
      <c r="F90" t="s">
        <v>184</v>
      </c>
      <c r="G90">
        <v>62</v>
      </c>
      <c r="H90">
        <f t="shared" si="1"/>
        <v>148</v>
      </c>
      <c r="I90">
        <v>148</v>
      </c>
      <c r="L90">
        <v>148</v>
      </c>
      <c r="O90">
        <f>Tabla5[[#This Row],[Taladros Simples]]+Tabla5[[#This Row],[Taladros Dobles]]+Tabla5[[#This Row],[Taladros Triples]]</f>
        <v>148</v>
      </c>
      <c r="Q90" s="17">
        <v>67</v>
      </c>
      <c r="S90" s="17">
        <v>169</v>
      </c>
      <c r="U90" t="s">
        <v>188</v>
      </c>
      <c r="V90">
        <v>13</v>
      </c>
      <c r="W90">
        <v>200</v>
      </c>
      <c r="Y90">
        <v>0</v>
      </c>
      <c r="Z90">
        <v>0</v>
      </c>
      <c r="AA90">
        <v>0</v>
      </c>
      <c r="AB90">
        <v>0</v>
      </c>
      <c r="AE90">
        <v>3.45</v>
      </c>
      <c r="AF90" t="e">
        <f>-#REF!</f>
        <v>#REF!</v>
      </c>
      <c r="AP90" t="str">
        <f t="shared" si="6"/>
        <v>Túnel completo-Vol 62</v>
      </c>
      <c r="AQ90" t="s">
        <v>148</v>
      </c>
    </row>
    <row r="91" spans="1:43" ht="14.4" x14ac:dyDescent="0.3">
      <c r="A91" s="30">
        <v>63</v>
      </c>
      <c r="B91" s="12" t="s">
        <v>144</v>
      </c>
      <c r="C91">
        <v>2024</v>
      </c>
      <c r="D91" t="s">
        <v>182</v>
      </c>
      <c r="E91" s="16">
        <v>45435</v>
      </c>
      <c r="F91" t="s">
        <v>184</v>
      </c>
      <c r="G91">
        <v>63</v>
      </c>
      <c r="H91">
        <f t="shared" si="1"/>
        <v>159</v>
      </c>
      <c r="I91">
        <v>159</v>
      </c>
      <c r="L91">
        <v>159</v>
      </c>
      <c r="O91">
        <f>Tabla5[[#This Row],[Taladros Simples]]+Tabla5[[#This Row],[Taladros Dobles]]+Tabla5[[#This Row],[Taladros Triples]]</f>
        <v>159</v>
      </c>
      <c r="Q91" s="17">
        <v>103</v>
      </c>
      <c r="S91" s="17">
        <v>248</v>
      </c>
      <c r="U91" t="s">
        <v>189</v>
      </c>
      <c r="V91">
        <v>35</v>
      </c>
      <c r="W91">
        <v>200</v>
      </c>
      <c r="Y91">
        <v>0</v>
      </c>
      <c r="Z91">
        <v>0</v>
      </c>
      <c r="AA91">
        <v>0</v>
      </c>
      <c r="AB91">
        <v>0</v>
      </c>
      <c r="AE91">
        <v>3.6</v>
      </c>
      <c r="AF91" t="e">
        <f>-#REF!</f>
        <v>#REF!</v>
      </c>
      <c r="AP91" t="str">
        <f t="shared" ref="AP91:AP105" si="7">CONCATENATE(F91,"-","Vol"," ",G91)</f>
        <v>Túnel completo-Vol 63</v>
      </c>
      <c r="AQ91" t="s">
        <v>148</v>
      </c>
    </row>
    <row r="92" spans="1:43" ht="14.4" x14ac:dyDescent="0.3">
      <c r="A92" s="30">
        <v>64</v>
      </c>
      <c r="B92" s="12" t="s">
        <v>144</v>
      </c>
      <c r="C92">
        <v>2024</v>
      </c>
      <c r="D92" t="s">
        <v>182</v>
      </c>
      <c r="E92" s="16">
        <v>45436</v>
      </c>
      <c r="F92" t="s">
        <v>184</v>
      </c>
      <c r="G92">
        <v>64</v>
      </c>
      <c r="H92">
        <f t="shared" ref="H92:H144" si="8">I92</f>
        <v>145</v>
      </c>
      <c r="I92">
        <v>145</v>
      </c>
      <c r="L92">
        <v>145</v>
      </c>
      <c r="O92">
        <f>Tabla5[[#This Row],[Taladros Simples]]+Tabla5[[#This Row],[Taladros Dobles]]+Tabla5[[#This Row],[Taladros Triples]]</f>
        <v>145</v>
      </c>
      <c r="Q92" s="17">
        <v>106.5</v>
      </c>
      <c r="S92" s="17">
        <v>214</v>
      </c>
      <c r="U92" t="s">
        <v>190</v>
      </c>
      <c r="V92">
        <v>18</v>
      </c>
      <c r="W92">
        <v>200</v>
      </c>
      <c r="Y92">
        <v>0</v>
      </c>
      <c r="Z92">
        <v>0</v>
      </c>
      <c r="AA92">
        <v>0</v>
      </c>
      <c r="AB92">
        <v>0</v>
      </c>
      <c r="AE92">
        <v>3.4</v>
      </c>
      <c r="AF92" t="e">
        <f>-#REF!</f>
        <v>#REF!</v>
      </c>
      <c r="AP92" t="str">
        <f t="shared" si="7"/>
        <v>Túnel completo-Vol 64</v>
      </c>
      <c r="AQ92" t="s">
        <v>148</v>
      </c>
    </row>
    <row r="93" spans="1:43" ht="14.4" x14ac:dyDescent="0.3">
      <c r="A93" s="30">
        <v>65</v>
      </c>
      <c r="B93" s="12" t="s">
        <v>144</v>
      </c>
      <c r="C93">
        <v>2024</v>
      </c>
      <c r="D93" t="s">
        <v>182</v>
      </c>
      <c r="E93" s="16">
        <v>45436</v>
      </c>
      <c r="F93" t="s">
        <v>184</v>
      </c>
      <c r="G93">
        <v>65</v>
      </c>
      <c r="H93">
        <f t="shared" si="8"/>
        <v>153</v>
      </c>
      <c r="I93">
        <v>153</v>
      </c>
      <c r="L93">
        <v>153</v>
      </c>
      <c r="O93">
        <f>Tabla5[[#This Row],[Taladros Simples]]+Tabla5[[#This Row],[Taladros Dobles]]+Tabla5[[#This Row],[Taladros Triples]]</f>
        <v>153</v>
      </c>
      <c r="Q93" s="17">
        <v>103</v>
      </c>
      <c r="S93" s="17">
        <v>235</v>
      </c>
      <c r="U93" t="s">
        <v>191</v>
      </c>
      <c r="V93">
        <v>50</v>
      </c>
      <c r="W93">
        <v>200</v>
      </c>
      <c r="Y93">
        <v>0</v>
      </c>
      <c r="Z93">
        <v>0</v>
      </c>
      <c r="AA93">
        <v>0</v>
      </c>
      <c r="AB93">
        <v>0</v>
      </c>
      <c r="AD93">
        <v>1</v>
      </c>
      <c r="AE93">
        <v>3.52</v>
      </c>
      <c r="AF93" t="e">
        <f>-#REF!</f>
        <v>#REF!</v>
      </c>
      <c r="AP93" t="str">
        <f t="shared" si="7"/>
        <v>Túnel completo-Vol 65</v>
      </c>
      <c r="AQ93" t="s">
        <v>192</v>
      </c>
    </row>
    <row r="94" spans="1:43" ht="14.4" x14ac:dyDescent="0.3">
      <c r="A94" s="30">
        <v>66</v>
      </c>
      <c r="B94" s="12" t="s">
        <v>144</v>
      </c>
      <c r="C94">
        <v>2024</v>
      </c>
      <c r="D94" t="s">
        <v>182</v>
      </c>
      <c r="E94" s="16">
        <v>45437</v>
      </c>
      <c r="F94" t="s">
        <v>184</v>
      </c>
      <c r="G94">
        <v>66</v>
      </c>
      <c r="H94">
        <f t="shared" si="8"/>
        <v>157</v>
      </c>
      <c r="I94">
        <v>157</v>
      </c>
      <c r="L94">
        <v>157</v>
      </c>
      <c r="O94">
        <f>Tabla5[[#This Row],[Taladros Simples]]+Tabla5[[#This Row],[Taladros Dobles]]+Tabla5[[#This Row],[Taladros Triples]]</f>
        <v>157</v>
      </c>
      <c r="Q94" s="17">
        <v>78</v>
      </c>
      <c r="S94" s="17">
        <v>257.5</v>
      </c>
      <c r="U94" t="s">
        <v>193</v>
      </c>
      <c r="V94">
        <v>29</v>
      </c>
      <c r="W94">
        <v>200</v>
      </c>
      <c r="Y94">
        <v>0</v>
      </c>
      <c r="Z94">
        <v>0</v>
      </c>
      <c r="AA94">
        <v>0</v>
      </c>
      <c r="AB94">
        <v>0</v>
      </c>
      <c r="AE94">
        <v>3.58</v>
      </c>
      <c r="AF94" t="e">
        <f>-#REF!</f>
        <v>#REF!</v>
      </c>
      <c r="AP94" t="str">
        <f t="shared" si="7"/>
        <v>Túnel completo-Vol 66</v>
      </c>
      <c r="AQ94" t="s">
        <v>148</v>
      </c>
    </row>
    <row r="95" spans="1:43" ht="14.4" x14ac:dyDescent="0.3">
      <c r="A95" s="30">
        <v>67</v>
      </c>
      <c r="B95" s="12" t="s">
        <v>144</v>
      </c>
      <c r="C95">
        <v>2024</v>
      </c>
      <c r="D95" t="s">
        <v>182</v>
      </c>
      <c r="E95" s="16">
        <v>45437</v>
      </c>
      <c r="F95" t="s">
        <v>184</v>
      </c>
      <c r="G95">
        <v>67</v>
      </c>
      <c r="H95">
        <f t="shared" si="8"/>
        <v>151</v>
      </c>
      <c r="I95">
        <v>151</v>
      </c>
      <c r="L95">
        <v>151</v>
      </c>
      <c r="O95">
        <f>Tabla5[[#This Row],[Taladros Simples]]+Tabla5[[#This Row],[Taladros Dobles]]+Tabla5[[#This Row],[Taladros Triples]]</f>
        <v>151</v>
      </c>
      <c r="Q95" s="17">
        <v>120.5</v>
      </c>
      <c r="S95" s="17">
        <v>297</v>
      </c>
      <c r="U95" t="s">
        <v>194</v>
      </c>
      <c r="V95">
        <v>55</v>
      </c>
      <c r="W95">
        <v>200</v>
      </c>
      <c r="Y95">
        <v>0</v>
      </c>
      <c r="Z95">
        <v>0</v>
      </c>
      <c r="AA95">
        <v>0</v>
      </c>
      <c r="AB95">
        <v>0</v>
      </c>
      <c r="AE95">
        <v>3.5</v>
      </c>
      <c r="AF95" t="e">
        <f>-#REF!</f>
        <v>#REF!</v>
      </c>
      <c r="AP95" t="str">
        <f t="shared" si="7"/>
        <v>Túnel completo-Vol 67</v>
      </c>
      <c r="AQ95" t="s">
        <v>148</v>
      </c>
    </row>
    <row r="96" spans="1:43" ht="14.4" x14ac:dyDescent="0.3">
      <c r="A96" s="30">
        <v>68</v>
      </c>
      <c r="B96" s="12" t="s">
        <v>144</v>
      </c>
      <c r="C96">
        <v>2024</v>
      </c>
      <c r="D96" t="s">
        <v>182</v>
      </c>
      <c r="E96" s="16">
        <v>45438</v>
      </c>
      <c r="F96" t="s">
        <v>184</v>
      </c>
      <c r="G96">
        <v>68</v>
      </c>
      <c r="H96">
        <f t="shared" si="8"/>
        <v>151</v>
      </c>
      <c r="I96">
        <v>151</v>
      </c>
      <c r="L96">
        <v>151</v>
      </c>
      <c r="O96">
        <f>Tabla5[[#This Row],[Taladros Simples]]+Tabla5[[#This Row],[Taladros Dobles]]+Tabla5[[#This Row],[Taladros Triples]]</f>
        <v>151</v>
      </c>
      <c r="Q96" s="17">
        <v>111</v>
      </c>
      <c r="S96" s="17">
        <v>295.5</v>
      </c>
      <c r="U96" t="s">
        <v>195</v>
      </c>
      <c r="V96">
        <v>39</v>
      </c>
      <c r="W96">
        <v>200</v>
      </c>
      <c r="AE96">
        <v>3.43</v>
      </c>
      <c r="AF96" t="e">
        <f>-#REF!</f>
        <v>#REF!</v>
      </c>
      <c r="AP96" t="str">
        <f t="shared" si="7"/>
        <v>Túnel completo-Vol 68</v>
      </c>
    </row>
    <row r="97" spans="1:42" ht="14.4" x14ac:dyDescent="0.3">
      <c r="A97" s="30">
        <v>69</v>
      </c>
      <c r="B97" s="12" t="s">
        <v>144</v>
      </c>
      <c r="C97">
        <v>2024</v>
      </c>
      <c r="D97" t="s">
        <v>182</v>
      </c>
      <c r="E97" s="16">
        <v>45438</v>
      </c>
      <c r="F97" t="s">
        <v>184</v>
      </c>
      <c r="G97">
        <v>69</v>
      </c>
      <c r="H97">
        <f t="shared" si="8"/>
        <v>163</v>
      </c>
      <c r="I97">
        <v>163</v>
      </c>
      <c r="L97">
        <v>163</v>
      </c>
      <c r="O97">
        <f>Tabla5[[#This Row],[Taladros Simples]]+Tabla5[[#This Row],[Taladros Dobles]]+Tabla5[[#This Row],[Taladros Triples]]</f>
        <v>163</v>
      </c>
      <c r="Q97" s="17">
        <v>126</v>
      </c>
      <c r="S97" s="17">
        <v>294</v>
      </c>
      <c r="U97" t="s">
        <v>196</v>
      </c>
      <c r="V97">
        <v>65</v>
      </c>
      <c r="W97">
        <v>200</v>
      </c>
      <c r="AE97">
        <v>3.56</v>
      </c>
      <c r="AF97" t="e">
        <f>-#REF!</f>
        <v>#REF!</v>
      </c>
      <c r="AP97" t="str">
        <f t="shared" si="7"/>
        <v>Túnel completo-Vol 69</v>
      </c>
    </row>
    <row r="98" spans="1:42" ht="14.4" x14ac:dyDescent="0.3">
      <c r="A98" s="30">
        <v>70</v>
      </c>
      <c r="B98" s="12" t="s">
        <v>144</v>
      </c>
      <c r="C98">
        <v>2024</v>
      </c>
      <c r="D98" t="s">
        <v>182</v>
      </c>
      <c r="E98" s="16">
        <v>45439</v>
      </c>
      <c r="F98" t="s">
        <v>184</v>
      </c>
      <c r="G98">
        <v>70</v>
      </c>
      <c r="H98">
        <f t="shared" si="8"/>
        <v>81</v>
      </c>
      <c r="I98">
        <v>81</v>
      </c>
      <c r="L98">
        <v>81</v>
      </c>
      <c r="O98">
        <f>Tabla5[[#This Row],[Taladros Simples]]+Tabla5[[#This Row],[Taladros Dobles]]+Tabla5[[#This Row],[Taladros Triples]]</f>
        <v>81</v>
      </c>
      <c r="Q98" s="17">
        <v>32</v>
      </c>
      <c r="S98" s="17">
        <v>119</v>
      </c>
      <c r="U98" t="s">
        <v>197</v>
      </c>
      <c r="V98">
        <v>4</v>
      </c>
      <c r="W98">
        <v>200</v>
      </c>
      <c r="Y98">
        <v>0</v>
      </c>
      <c r="Z98">
        <v>0</v>
      </c>
      <c r="AA98">
        <v>0</v>
      </c>
      <c r="AB98">
        <v>0</v>
      </c>
      <c r="AE98">
        <v>3.45</v>
      </c>
      <c r="AF98" t="e">
        <f>-#REF!</f>
        <v>#REF!</v>
      </c>
      <c r="AP98" t="str">
        <f t="shared" si="7"/>
        <v>Túnel completo-Vol 70</v>
      </c>
    </row>
    <row r="99" spans="1:42" ht="14.4" x14ac:dyDescent="0.3">
      <c r="A99" s="30">
        <v>71</v>
      </c>
      <c r="B99" s="12" t="s">
        <v>144</v>
      </c>
      <c r="C99">
        <v>2024</v>
      </c>
      <c r="D99" t="s">
        <v>182</v>
      </c>
      <c r="E99" s="16">
        <v>45439</v>
      </c>
      <c r="F99" t="s">
        <v>184</v>
      </c>
      <c r="G99">
        <v>71</v>
      </c>
      <c r="H99">
        <f t="shared" si="8"/>
        <v>131</v>
      </c>
      <c r="I99">
        <v>131</v>
      </c>
      <c r="L99">
        <v>131</v>
      </c>
      <c r="O99">
        <f>Tabla5[[#This Row],[Taladros Simples]]+Tabla5[[#This Row],[Taladros Dobles]]+Tabla5[[#This Row],[Taladros Triples]]</f>
        <v>131</v>
      </c>
      <c r="Q99" s="17">
        <v>75.5</v>
      </c>
      <c r="S99" s="17">
        <v>194.5</v>
      </c>
      <c r="U99" t="s">
        <v>198</v>
      </c>
      <c r="V99">
        <v>16</v>
      </c>
      <c r="W99">
        <v>200</v>
      </c>
      <c r="Y99">
        <v>0</v>
      </c>
      <c r="Z99">
        <v>0</v>
      </c>
      <c r="AA99">
        <v>0</v>
      </c>
      <c r="AB99">
        <v>0</v>
      </c>
      <c r="AE99">
        <v>3.6</v>
      </c>
      <c r="AF99" t="e">
        <f>-#REF!</f>
        <v>#REF!</v>
      </c>
      <c r="AP99" t="str">
        <f t="shared" si="7"/>
        <v>Túnel completo-Vol 71</v>
      </c>
    </row>
    <row r="100" spans="1:42" ht="14.4" x14ac:dyDescent="0.3">
      <c r="A100" s="30">
        <v>1</v>
      </c>
      <c r="B100" s="12" t="s">
        <v>199</v>
      </c>
      <c r="C100">
        <v>2024</v>
      </c>
      <c r="D100" t="s">
        <v>182</v>
      </c>
      <c r="E100" s="16">
        <v>45439</v>
      </c>
      <c r="F100" t="s">
        <v>146</v>
      </c>
      <c r="G100">
        <v>1</v>
      </c>
      <c r="H100">
        <f t="shared" si="8"/>
        <v>46</v>
      </c>
      <c r="I100">
        <v>46</v>
      </c>
      <c r="L100">
        <v>46</v>
      </c>
      <c r="O100">
        <f>Tabla5[[#This Row],[Taladros Simples]]+Tabla5[[#This Row],[Taladros Dobles]]+Tabla5[[#This Row],[Taladros Triples]]</f>
        <v>46</v>
      </c>
      <c r="Q100" s="17">
        <v>21.5</v>
      </c>
      <c r="S100" s="17">
        <v>14.5</v>
      </c>
      <c r="U100" t="s">
        <v>200</v>
      </c>
      <c r="V100">
        <v>0</v>
      </c>
      <c r="W100">
        <v>200</v>
      </c>
      <c r="AE100">
        <v>3.4</v>
      </c>
      <c r="AF100" t="e">
        <f>-#REF!</f>
        <v>#REF!</v>
      </c>
      <c r="AP100" t="str">
        <f t="shared" si="7"/>
        <v>Galería 01-Vol 1</v>
      </c>
    </row>
    <row r="101" spans="1:42" ht="14.4" x14ac:dyDescent="0.3">
      <c r="A101" s="30">
        <v>72</v>
      </c>
      <c r="B101" s="12" t="s">
        <v>144</v>
      </c>
      <c r="C101">
        <v>2024</v>
      </c>
      <c r="D101" t="s">
        <v>182</v>
      </c>
      <c r="E101" s="16">
        <v>45440</v>
      </c>
      <c r="F101" t="s">
        <v>184</v>
      </c>
      <c r="G101">
        <v>72</v>
      </c>
      <c r="H101">
        <f t="shared" si="8"/>
        <v>112</v>
      </c>
      <c r="I101">
        <v>112</v>
      </c>
      <c r="L101">
        <v>112</v>
      </c>
      <c r="O101">
        <f>Tabla5[[#This Row],[Taladros Simples]]+Tabla5[[#This Row],[Taladros Dobles]]+Tabla5[[#This Row],[Taladros Triples]]</f>
        <v>112</v>
      </c>
      <c r="Q101" s="17">
        <v>30</v>
      </c>
      <c r="S101" s="17">
        <v>160</v>
      </c>
      <c r="U101" t="s">
        <v>201</v>
      </c>
      <c r="V101">
        <v>1</v>
      </c>
      <c r="W101">
        <v>200</v>
      </c>
      <c r="AE101">
        <v>3.52</v>
      </c>
      <c r="AF101" t="e">
        <f>-#REF!</f>
        <v>#REF!</v>
      </c>
      <c r="AP101" t="str">
        <f t="shared" si="7"/>
        <v>Túnel completo-Vol 72</v>
      </c>
    </row>
    <row r="102" spans="1:42" ht="14.4" x14ac:dyDescent="0.3">
      <c r="A102" s="30">
        <v>2</v>
      </c>
      <c r="B102" s="12" t="s">
        <v>199</v>
      </c>
      <c r="C102">
        <v>2024</v>
      </c>
      <c r="D102" t="s">
        <v>182</v>
      </c>
      <c r="E102" s="16">
        <v>45440</v>
      </c>
      <c r="F102" t="s">
        <v>146</v>
      </c>
      <c r="G102">
        <v>2</v>
      </c>
      <c r="H102">
        <f t="shared" si="8"/>
        <v>54</v>
      </c>
      <c r="I102">
        <v>54</v>
      </c>
      <c r="L102">
        <v>54</v>
      </c>
      <c r="O102">
        <v>54</v>
      </c>
      <c r="Q102" s="17">
        <v>8</v>
      </c>
      <c r="S102" s="17">
        <v>60</v>
      </c>
      <c r="U102" t="s">
        <v>202</v>
      </c>
      <c r="V102">
        <v>0</v>
      </c>
      <c r="W102">
        <v>200</v>
      </c>
      <c r="AE102">
        <v>1.56</v>
      </c>
      <c r="AF102" t="e">
        <f>-#REF!</f>
        <v>#REF!</v>
      </c>
      <c r="AP102" t="str">
        <f t="shared" si="7"/>
        <v>Galería 01-Vol 2</v>
      </c>
    </row>
    <row r="103" spans="1:42" ht="14.4" x14ac:dyDescent="0.3">
      <c r="A103" s="30">
        <v>73</v>
      </c>
      <c r="B103" s="12" t="s">
        <v>144</v>
      </c>
      <c r="C103">
        <v>2024</v>
      </c>
      <c r="D103" t="s">
        <v>182</v>
      </c>
      <c r="E103" s="16">
        <v>45440</v>
      </c>
      <c r="F103" t="s">
        <v>184</v>
      </c>
      <c r="G103">
        <v>73</v>
      </c>
      <c r="H103">
        <f t="shared" si="8"/>
        <v>151</v>
      </c>
      <c r="I103">
        <v>151</v>
      </c>
      <c r="L103">
        <v>151</v>
      </c>
      <c r="O103">
        <f>Tabla5[[#This Row],[Taladros Simples]]+Tabla5[[#This Row],[Taladros Dobles]]+Tabla5[[#This Row],[Taladros Triples]]</f>
        <v>151</v>
      </c>
      <c r="Q103" s="17">
        <v>79.5</v>
      </c>
      <c r="S103" s="17">
        <v>195</v>
      </c>
      <c r="U103" t="s">
        <v>203</v>
      </c>
      <c r="V103">
        <v>15</v>
      </c>
      <c r="W103">
        <v>200</v>
      </c>
      <c r="AE103">
        <v>3.58</v>
      </c>
      <c r="AF103" t="e">
        <f>-#REF!</f>
        <v>#REF!</v>
      </c>
      <c r="AP103" t="str">
        <f t="shared" si="7"/>
        <v>Túnel completo-Vol 73</v>
      </c>
    </row>
    <row r="104" spans="1:42" ht="14.4" x14ac:dyDescent="0.3">
      <c r="A104" s="30">
        <v>74</v>
      </c>
      <c r="B104" s="12" t="s">
        <v>144</v>
      </c>
      <c r="C104">
        <v>2024</v>
      </c>
      <c r="D104" t="s">
        <v>182</v>
      </c>
      <c r="E104" s="16">
        <v>45441</v>
      </c>
      <c r="F104" t="s">
        <v>184</v>
      </c>
      <c r="G104">
        <v>74</v>
      </c>
      <c r="H104">
        <f t="shared" si="8"/>
        <v>138</v>
      </c>
      <c r="I104">
        <v>138</v>
      </c>
      <c r="L104">
        <v>138</v>
      </c>
      <c r="O104">
        <f>Tabla5[[#This Row],[Taladros Simples]]+Tabla5[[#This Row],[Taladros Dobles]]+Tabla5[[#This Row],[Taladros Triples]]</f>
        <v>138</v>
      </c>
      <c r="Q104" s="17">
        <v>151.5</v>
      </c>
      <c r="S104" s="17">
        <v>39</v>
      </c>
      <c r="U104" t="s">
        <v>204</v>
      </c>
      <c r="V104">
        <v>32</v>
      </c>
      <c r="W104">
        <v>200</v>
      </c>
      <c r="AE104">
        <v>3.4</v>
      </c>
      <c r="AF104" t="e">
        <f>-#REF!</f>
        <v>#REF!</v>
      </c>
      <c r="AP104" t="str">
        <f t="shared" si="7"/>
        <v>Túnel completo-Vol 74</v>
      </c>
    </row>
    <row r="105" spans="1:42" ht="14.4" x14ac:dyDescent="0.3">
      <c r="A105" s="30">
        <v>3</v>
      </c>
      <c r="B105" s="12" t="s">
        <v>199</v>
      </c>
      <c r="C105">
        <v>2024</v>
      </c>
      <c r="D105" t="s">
        <v>182</v>
      </c>
      <c r="E105" s="16">
        <v>45441</v>
      </c>
      <c r="F105" t="s">
        <v>146</v>
      </c>
      <c r="G105">
        <v>3</v>
      </c>
      <c r="H105">
        <f t="shared" si="8"/>
        <v>68</v>
      </c>
      <c r="I105">
        <v>68</v>
      </c>
      <c r="L105">
        <v>68</v>
      </c>
      <c r="O105">
        <v>68</v>
      </c>
      <c r="Q105" s="17">
        <v>8</v>
      </c>
      <c r="S105" s="17">
        <v>53.5</v>
      </c>
      <c r="U105" t="s">
        <v>205</v>
      </c>
      <c r="V105">
        <v>0</v>
      </c>
      <c r="W105">
        <v>200</v>
      </c>
      <c r="AE105">
        <v>2.65</v>
      </c>
      <c r="AF105" t="e">
        <f>-#REF!</f>
        <v>#REF!</v>
      </c>
      <c r="AP105" t="str">
        <f t="shared" si="7"/>
        <v>Galería 01-Vol 3</v>
      </c>
    </row>
    <row r="106" spans="1:42" ht="14.4" x14ac:dyDescent="0.3">
      <c r="A106" s="30">
        <v>75</v>
      </c>
      <c r="B106" s="12" t="s">
        <v>144</v>
      </c>
      <c r="C106">
        <v>2024</v>
      </c>
      <c r="D106" t="s">
        <v>182</v>
      </c>
      <c r="E106" s="16">
        <v>45441</v>
      </c>
      <c r="F106" t="s">
        <v>184</v>
      </c>
      <c r="G106">
        <v>75</v>
      </c>
      <c r="H106">
        <f t="shared" si="8"/>
        <v>148</v>
      </c>
      <c r="I106">
        <v>148</v>
      </c>
      <c r="L106">
        <v>148</v>
      </c>
      <c r="O106">
        <f>Tabla5[[#This Row],[Taladros Simples]]+Tabla5[[#This Row],[Taladros Dobles]]+Tabla5[[#This Row],[Taladros Triples]]</f>
        <v>148</v>
      </c>
      <c r="Q106" s="17">
        <v>49.5</v>
      </c>
      <c r="S106" s="17">
        <v>231.5</v>
      </c>
      <c r="U106" t="s">
        <v>206</v>
      </c>
      <c r="V106">
        <v>35</v>
      </c>
      <c r="W106">
        <v>200</v>
      </c>
      <c r="AE106">
        <v>3.6</v>
      </c>
      <c r="AF106" t="e">
        <f>-#REF!</f>
        <v>#REF!</v>
      </c>
      <c r="AP106" t="str">
        <f t="shared" ref="AP106:AP107" si="9">CONCATENATE(F106,"-","Vol"," ",G106)</f>
        <v>Túnel completo-Vol 75</v>
      </c>
    </row>
    <row r="107" spans="1:42" ht="14.4" x14ac:dyDescent="0.3">
      <c r="A107" s="30">
        <v>76</v>
      </c>
      <c r="B107" s="12" t="s">
        <v>144</v>
      </c>
      <c r="C107">
        <v>2024</v>
      </c>
      <c r="D107" t="s">
        <v>182</v>
      </c>
      <c r="E107" s="16">
        <v>45442</v>
      </c>
      <c r="F107" t="s">
        <v>207</v>
      </c>
      <c r="G107">
        <v>76</v>
      </c>
      <c r="H107">
        <f t="shared" si="8"/>
        <v>85</v>
      </c>
      <c r="I107">
        <v>85</v>
      </c>
      <c r="L107">
        <v>85</v>
      </c>
      <c r="O107">
        <f>Tabla5[[#This Row],[Taladros Simples]]+Tabla5[[#This Row],[Taladros Dobles]]+Tabla5[[#This Row],[Taladros Triples]]</f>
        <v>85</v>
      </c>
      <c r="Q107" s="17">
        <v>7.87</v>
      </c>
      <c r="S107" s="17">
        <v>133</v>
      </c>
      <c r="U107" t="s">
        <v>208</v>
      </c>
      <c r="V107">
        <v>0</v>
      </c>
      <c r="W107">
        <v>200</v>
      </c>
      <c r="AE107">
        <v>2.8</v>
      </c>
      <c r="AF107" t="e">
        <f>-#REF!</f>
        <v>#REF!</v>
      </c>
      <c r="AP107" t="str">
        <f t="shared" si="9"/>
        <v>Túnel incompleto-Vol 76</v>
      </c>
    </row>
    <row r="108" spans="1:42" ht="14.4" x14ac:dyDescent="0.3">
      <c r="A108" s="30">
        <v>77</v>
      </c>
      <c r="B108" s="12" t="s">
        <v>144</v>
      </c>
      <c r="C108">
        <v>2024</v>
      </c>
      <c r="D108" t="s">
        <v>182</v>
      </c>
      <c r="E108" s="16">
        <v>45442</v>
      </c>
      <c r="F108" t="s">
        <v>207</v>
      </c>
      <c r="G108">
        <v>77</v>
      </c>
      <c r="H108">
        <f t="shared" si="8"/>
        <v>135</v>
      </c>
      <c r="I108">
        <v>135</v>
      </c>
      <c r="L108">
        <v>135</v>
      </c>
      <c r="O108">
        <f>Tabla5[[#This Row],[Taladros Simples]]+Tabla5[[#This Row],[Taladros Dobles]]+Tabla5[[#This Row],[Taladros Triples]]</f>
        <v>135</v>
      </c>
      <c r="Q108" s="17">
        <v>43.5</v>
      </c>
      <c r="S108" s="17">
        <v>224</v>
      </c>
      <c r="U108" t="s">
        <v>208</v>
      </c>
      <c r="V108">
        <v>35</v>
      </c>
      <c r="W108">
        <v>200</v>
      </c>
      <c r="AE108">
        <v>3.4</v>
      </c>
      <c r="AF108" t="e">
        <f>-#REF!</f>
        <v>#REF!</v>
      </c>
      <c r="AP108" t="str">
        <f t="shared" ref="AP108:AP109" si="10">CONCATENATE(F108,"-","Vol"," ",G108)</f>
        <v>Túnel incompleto-Vol 77</v>
      </c>
    </row>
    <row r="109" spans="1:42" ht="14.4" x14ac:dyDescent="0.3">
      <c r="A109" s="30">
        <v>4</v>
      </c>
      <c r="B109" s="12" t="s">
        <v>199</v>
      </c>
      <c r="C109">
        <v>2024</v>
      </c>
      <c r="D109" t="s">
        <v>182</v>
      </c>
      <c r="E109" s="16">
        <v>45442</v>
      </c>
      <c r="F109" t="s">
        <v>146</v>
      </c>
      <c r="G109">
        <v>4</v>
      </c>
      <c r="H109">
        <f t="shared" si="8"/>
        <v>82</v>
      </c>
      <c r="I109">
        <v>82</v>
      </c>
      <c r="L109">
        <v>82</v>
      </c>
      <c r="O109">
        <f>Tabla5[[#This Row],[Taladros Simples]]+Tabla5[[#This Row],[Taladros Dobles]]+Tabla5[[#This Row],[Taladros Triples]]</f>
        <v>82</v>
      </c>
      <c r="Q109" s="17">
        <v>0</v>
      </c>
      <c r="S109" s="17">
        <v>74</v>
      </c>
      <c r="U109" t="s">
        <v>209</v>
      </c>
      <c r="V109">
        <v>0</v>
      </c>
      <c r="W109">
        <v>200</v>
      </c>
      <c r="AE109">
        <v>3.22</v>
      </c>
      <c r="AF109" t="e">
        <f>-#REF!</f>
        <v>#REF!</v>
      </c>
      <c r="AP109" t="str">
        <f t="shared" si="10"/>
        <v>Galería 01-Vol 4</v>
      </c>
    </row>
    <row r="110" spans="1:42" ht="14.4" x14ac:dyDescent="0.3">
      <c r="A110" s="30">
        <v>78</v>
      </c>
      <c r="B110" s="12" t="s">
        <v>144</v>
      </c>
      <c r="C110">
        <v>2024</v>
      </c>
      <c r="D110" t="s">
        <v>182</v>
      </c>
      <c r="E110" s="16">
        <v>45443</v>
      </c>
      <c r="F110" t="s">
        <v>207</v>
      </c>
      <c r="G110">
        <v>78</v>
      </c>
      <c r="H110">
        <f t="shared" si="8"/>
        <v>87</v>
      </c>
      <c r="I110">
        <v>87</v>
      </c>
      <c r="L110">
        <v>87</v>
      </c>
      <c r="O110">
        <f>Tabla5[[#This Row],[Taladros Simples]]+Tabla5[[#This Row],[Taladros Dobles]]+Tabla5[[#This Row],[Taladros Triples]]</f>
        <v>87</v>
      </c>
      <c r="Q110" s="17">
        <v>18.5</v>
      </c>
      <c r="S110" s="17">
        <v>134</v>
      </c>
      <c r="U110" t="s">
        <v>208</v>
      </c>
      <c r="V110">
        <v>15</v>
      </c>
      <c r="W110">
        <v>200</v>
      </c>
      <c r="AE110">
        <v>2.2999999999999998</v>
      </c>
      <c r="AF110" t="e">
        <f>-#REF!</f>
        <v>#REF!</v>
      </c>
      <c r="AP110" t="str">
        <f t="shared" ref="AP110:AP111" si="11">CONCATENATE(F110,"-","Vol"," ",G110)</f>
        <v>Túnel incompleto-Vol 78</v>
      </c>
    </row>
    <row r="111" spans="1:42" ht="14.4" x14ac:dyDescent="0.3">
      <c r="A111" s="30">
        <v>5</v>
      </c>
      <c r="B111" s="12" t="s">
        <v>199</v>
      </c>
      <c r="C111">
        <v>2024</v>
      </c>
      <c r="D111" t="s">
        <v>182</v>
      </c>
      <c r="E111" s="16">
        <v>45443</v>
      </c>
      <c r="F111" t="s">
        <v>146</v>
      </c>
      <c r="G111">
        <v>5</v>
      </c>
      <c r="H111">
        <f t="shared" si="8"/>
        <v>74</v>
      </c>
      <c r="I111">
        <v>74</v>
      </c>
      <c r="L111">
        <v>74</v>
      </c>
      <c r="O111">
        <f>Tabla5[[#This Row],[Taladros Simples]]+Tabla5[[#This Row],[Taladros Dobles]]+Tabla5[[#This Row],[Taladros Triples]]</f>
        <v>74</v>
      </c>
      <c r="S111" s="17">
        <v>94</v>
      </c>
      <c r="U111" t="s">
        <v>209</v>
      </c>
      <c r="V111">
        <v>0</v>
      </c>
      <c r="W111">
        <v>200</v>
      </c>
      <c r="AE111">
        <v>1.8</v>
      </c>
      <c r="AF111" t="e">
        <f>-#REF!</f>
        <v>#REF!</v>
      </c>
      <c r="AP111" t="str">
        <f t="shared" si="11"/>
        <v>Galería 01-Vol 5</v>
      </c>
    </row>
    <row r="112" spans="1:42" ht="14.4" x14ac:dyDescent="0.3">
      <c r="A112" s="30">
        <v>79</v>
      </c>
      <c r="B112" s="12" t="s">
        <v>144</v>
      </c>
      <c r="C112">
        <v>2024</v>
      </c>
      <c r="D112" t="s">
        <v>182</v>
      </c>
      <c r="E112" s="16">
        <v>45443</v>
      </c>
      <c r="F112" t="s">
        <v>207</v>
      </c>
      <c r="G112">
        <v>79</v>
      </c>
      <c r="H112">
        <f t="shared" si="8"/>
        <v>117</v>
      </c>
      <c r="I112">
        <v>117</v>
      </c>
      <c r="L112">
        <v>113</v>
      </c>
      <c r="O112">
        <f>Tabla5[[#This Row],[Taladros Simples]]+Tabla5[[#This Row],[Taladros Dobles]]+Tabla5[[#This Row],[Taladros Triples]]</f>
        <v>113</v>
      </c>
      <c r="Q112" s="17">
        <v>33.5</v>
      </c>
      <c r="S112" s="17">
        <v>190</v>
      </c>
      <c r="U112" t="s">
        <v>210</v>
      </c>
      <c r="V112">
        <v>9</v>
      </c>
      <c r="W112">
        <v>200</v>
      </c>
      <c r="AE112">
        <v>3.05</v>
      </c>
      <c r="AF112" t="e">
        <f>-#REF!</f>
        <v>#REF!</v>
      </c>
      <c r="AP112" t="str">
        <f t="shared" ref="AP112:AP134" si="12">CONCATENATE(F112,"-","Vol"," ",G112)</f>
        <v>Túnel incompleto-Vol 79</v>
      </c>
    </row>
    <row r="113" spans="1:43" ht="14.4" x14ac:dyDescent="0.3">
      <c r="A113" s="30">
        <v>80</v>
      </c>
      <c r="B113" s="12" t="s">
        <v>144</v>
      </c>
      <c r="C113">
        <v>2024</v>
      </c>
      <c r="D113" t="s">
        <v>211</v>
      </c>
      <c r="E113" s="16">
        <v>45444</v>
      </c>
      <c r="F113" t="s">
        <v>207</v>
      </c>
      <c r="G113">
        <v>80</v>
      </c>
      <c r="H113">
        <f t="shared" si="8"/>
        <v>101</v>
      </c>
      <c r="I113">
        <f>+Tabla5[[#This Row],[N°TOTAL TALADROS CARGADOS]]</f>
        <v>101</v>
      </c>
      <c r="L113">
        <v>101</v>
      </c>
      <c r="O113">
        <f>Tabla5[[#This Row],[Taladros Simples]]+Tabla5[[#This Row],[Taladros Dobles]]+Tabla5[[#This Row],[Taladros Triples]]</f>
        <v>101</v>
      </c>
      <c r="Q113" s="17">
        <v>26.5</v>
      </c>
      <c r="S113" s="17">
        <v>131</v>
      </c>
      <c r="U113" t="s">
        <v>212</v>
      </c>
      <c r="V113">
        <v>15</v>
      </c>
      <c r="W113">
        <v>200</v>
      </c>
      <c r="AE113">
        <v>2.02</v>
      </c>
      <c r="AF113" t="e">
        <f>-#REF!</f>
        <v>#REF!</v>
      </c>
      <c r="AP113" t="str">
        <f t="shared" si="12"/>
        <v>Túnel incompleto-Vol 80</v>
      </c>
    </row>
    <row r="114" spans="1:43" ht="14.4" x14ac:dyDescent="0.3">
      <c r="A114" s="30">
        <v>6</v>
      </c>
      <c r="B114" s="12" t="s">
        <v>199</v>
      </c>
      <c r="C114">
        <v>2024</v>
      </c>
      <c r="D114" t="s">
        <v>211</v>
      </c>
      <c r="E114" s="16">
        <v>45444</v>
      </c>
      <c r="F114" t="s">
        <v>213</v>
      </c>
      <c r="G114">
        <v>6</v>
      </c>
      <c r="H114">
        <f t="shared" si="8"/>
        <v>93</v>
      </c>
      <c r="I114">
        <v>93</v>
      </c>
      <c r="L114">
        <v>93</v>
      </c>
      <c r="O114">
        <f>Tabla5[[#This Row],[Taladros Simples]]+Tabla5[[#This Row],[Taladros Dobles]]+Tabla5[[#This Row],[Taladros Triples]]</f>
        <v>93</v>
      </c>
      <c r="S114" s="17">
        <v>105</v>
      </c>
      <c r="U114" t="s">
        <v>214</v>
      </c>
      <c r="V114">
        <v>0</v>
      </c>
      <c r="W114">
        <v>200</v>
      </c>
      <c r="AE114">
        <v>2.1</v>
      </c>
      <c r="AF114" t="e">
        <f>-#REF!</f>
        <v>#REF!</v>
      </c>
      <c r="AP114" t="str">
        <f t="shared" si="12"/>
        <v>Galeria 01 - CI-Vol 6</v>
      </c>
    </row>
    <row r="115" spans="1:43" ht="14.4" x14ac:dyDescent="0.3">
      <c r="A115" s="30">
        <v>7</v>
      </c>
      <c r="B115" s="12" t="s">
        <v>199</v>
      </c>
      <c r="C115">
        <v>2024</v>
      </c>
      <c r="D115" t="s">
        <v>211</v>
      </c>
      <c r="E115" s="16">
        <v>45445</v>
      </c>
      <c r="F115" t="s">
        <v>213</v>
      </c>
      <c r="G115">
        <v>7</v>
      </c>
      <c r="H115">
        <f t="shared" si="8"/>
        <v>85</v>
      </c>
      <c r="I115">
        <f>+Tabla5[[#This Row],[N°TOTAL TALADROS CARGADOS]]</f>
        <v>85</v>
      </c>
      <c r="L115">
        <v>85</v>
      </c>
      <c r="O115">
        <f>Tabla5[[#This Row],[Taladros Simples]]+Tabla5[[#This Row],[Taladros Dobles]]+Tabla5[[#This Row],[Taladros Triples]]</f>
        <v>85</v>
      </c>
      <c r="Q115" s="17">
        <v>0</v>
      </c>
      <c r="S115" s="17">
        <v>105</v>
      </c>
      <c r="U115" t="s">
        <v>212</v>
      </c>
      <c r="V115">
        <v>0</v>
      </c>
      <c r="W115">
        <v>200</v>
      </c>
      <c r="AF115" t="e">
        <f>-#REF!</f>
        <v>#REF!</v>
      </c>
      <c r="AP115" t="str">
        <f t="shared" si="12"/>
        <v>Galeria 01 - CI-Vol 7</v>
      </c>
    </row>
    <row r="116" spans="1:43" ht="14.4" x14ac:dyDescent="0.3">
      <c r="A116" s="30">
        <v>8</v>
      </c>
      <c r="B116" s="12" t="s">
        <v>199</v>
      </c>
      <c r="C116">
        <v>2024</v>
      </c>
      <c r="D116" t="s">
        <v>211</v>
      </c>
      <c r="E116" s="16">
        <v>45446</v>
      </c>
      <c r="F116" t="s">
        <v>213</v>
      </c>
      <c r="G116">
        <v>8</v>
      </c>
      <c r="H116">
        <f t="shared" si="8"/>
        <v>89</v>
      </c>
      <c r="I116">
        <f>+Tabla5[[#This Row],[N°TOTAL TALADROS CARGADOS]]</f>
        <v>89</v>
      </c>
      <c r="L116">
        <v>89</v>
      </c>
      <c r="O116">
        <f>Tabla5[[#This Row],[Taladros Simples]]+Tabla5[[#This Row],[Taladros Dobles]]+Tabla5[[#This Row],[Taladros Triples]]</f>
        <v>89</v>
      </c>
      <c r="Q116" s="17">
        <v>0</v>
      </c>
      <c r="S116" s="17">
        <v>120</v>
      </c>
      <c r="U116" t="s">
        <v>212</v>
      </c>
      <c r="V116">
        <v>0</v>
      </c>
      <c r="W116">
        <v>200</v>
      </c>
      <c r="AF116" t="e">
        <f>-#REF!</f>
        <v>#REF!</v>
      </c>
      <c r="AP116" t="str">
        <f t="shared" si="12"/>
        <v>Galeria 01 - CI-Vol 8</v>
      </c>
    </row>
    <row r="117" spans="1:43" ht="14.4" x14ac:dyDescent="0.3">
      <c r="A117" s="30">
        <v>81</v>
      </c>
      <c r="B117" s="12" t="s">
        <v>144</v>
      </c>
      <c r="C117">
        <v>2024</v>
      </c>
      <c r="D117" t="s">
        <v>211</v>
      </c>
      <c r="E117" s="16">
        <v>45444</v>
      </c>
      <c r="F117" t="s">
        <v>184</v>
      </c>
      <c r="G117">
        <v>81</v>
      </c>
      <c r="H117">
        <f t="shared" si="8"/>
        <v>141</v>
      </c>
      <c r="I117">
        <v>141</v>
      </c>
      <c r="O117">
        <v>141</v>
      </c>
      <c r="Q117" s="17">
        <v>210</v>
      </c>
      <c r="S117" s="17">
        <v>19.5</v>
      </c>
      <c r="U117" t="s">
        <v>214</v>
      </c>
      <c r="V117">
        <v>0</v>
      </c>
      <c r="W117">
        <v>200</v>
      </c>
      <c r="AE117">
        <v>3.45</v>
      </c>
      <c r="AF117" t="e">
        <f>-#REF!</f>
        <v>#REF!</v>
      </c>
      <c r="AP117" t="str">
        <f t="shared" si="12"/>
        <v>Túnel completo-Vol 81</v>
      </c>
    </row>
    <row r="118" spans="1:43" ht="14.4" x14ac:dyDescent="0.3">
      <c r="A118" s="30">
        <v>82</v>
      </c>
      <c r="B118" s="12" t="s">
        <v>144</v>
      </c>
      <c r="C118">
        <v>2024</v>
      </c>
      <c r="D118" t="s">
        <v>211</v>
      </c>
      <c r="E118" s="16">
        <v>45445</v>
      </c>
      <c r="F118" t="s">
        <v>184</v>
      </c>
      <c r="G118">
        <v>82</v>
      </c>
      <c r="H118">
        <f t="shared" si="8"/>
        <v>132</v>
      </c>
      <c r="I118">
        <v>132</v>
      </c>
      <c r="L118">
        <v>132</v>
      </c>
      <c r="O118">
        <f>Tabla5[[#This Row],[Taladros Simples]]+Tabla5[[#This Row],[Taladros Dobles]]+Tabla5[[#This Row],[Taladros Triples]]</f>
        <v>132</v>
      </c>
      <c r="Q118" s="17">
        <v>181</v>
      </c>
      <c r="S118" s="17">
        <v>53.5</v>
      </c>
      <c r="U118" t="s">
        <v>214</v>
      </c>
      <c r="V118">
        <v>0</v>
      </c>
      <c r="W118">
        <v>200</v>
      </c>
      <c r="AE118">
        <v>3.6</v>
      </c>
      <c r="AF118" t="e">
        <f>-#REF!</f>
        <v>#REF!</v>
      </c>
      <c r="AP118" t="str">
        <f t="shared" si="12"/>
        <v>Túnel completo-Vol 82</v>
      </c>
    </row>
    <row r="119" spans="1:43" ht="14.4" x14ac:dyDescent="0.3">
      <c r="A119" s="30">
        <v>83</v>
      </c>
      <c r="B119" s="12" t="s">
        <v>144</v>
      </c>
      <c r="C119">
        <v>2024</v>
      </c>
      <c r="D119" t="s">
        <v>211</v>
      </c>
      <c r="E119" s="16">
        <v>45446</v>
      </c>
      <c r="F119" t="s">
        <v>184</v>
      </c>
      <c r="G119">
        <v>83</v>
      </c>
      <c r="H119">
        <f t="shared" si="8"/>
        <v>155</v>
      </c>
      <c r="I119">
        <v>155</v>
      </c>
      <c r="L119">
        <v>155</v>
      </c>
      <c r="O119">
        <f>Tabla5[[#This Row],[Taladros Simples]]+Tabla5[[#This Row],[Taladros Dobles]]+Tabla5[[#This Row],[Taladros Triples]]</f>
        <v>155</v>
      </c>
      <c r="Q119" s="17">
        <v>60.5</v>
      </c>
      <c r="S119" s="17">
        <v>190</v>
      </c>
      <c r="U119" t="s">
        <v>214</v>
      </c>
      <c r="V119">
        <v>0</v>
      </c>
      <c r="W119">
        <v>200</v>
      </c>
      <c r="AE119">
        <v>3.4</v>
      </c>
      <c r="AF119" t="e">
        <f>-#REF!</f>
        <v>#REF!</v>
      </c>
      <c r="AP119" t="str">
        <f t="shared" si="12"/>
        <v>Túnel completo-Vol 83</v>
      </c>
    </row>
    <row r="120" spans="1:43" ht="14.4" x14ac:dyDescent="0.3">
      <c r="A120" s="30">
        <v>9</v>
      </c>
      <c r="B120" s="12" t="s">
        <v>199</v>
      </c>
      <c r="C120">
        <v>2024</v>
      </c>
      <c r="D120" t="s">
        <v>211</v>
      </c>
      <c r="E120" s="16">
        <v>45446</v>
      </c>
      <c r="F120" t="s">
        <v>213</v>
      </c>
      <c r="G120">
        <v>9</v>
      </c>
      <c r="H120">
        <f t="shared" si="8"/>
        <v>100</v>
      </c>
      <c r="I120">
        <f>+Tabla5[[#This Row],[N°TOTAL TALADROS CARGADOS]]</f>
        <v>100</v>
      </c>
      <c r="L120">
        <v>100</v>
      </c>
      <c r="O120">
        <f>Tabla5[[#This Row],[Taladros Simples]]+Tabla5[[#This Row],[Taladros Dobles]]+Tabla5[[#This Row],[Taladros Triples]]</f>
        <v>100</v>
      </c>
      <c r="AF120" t="e">
        <f>-#REF!</f>
        <v>#REF!</v>
      </c>
      <c r="AP120" t="str">
        <f t="shared" si="12"/>
        <v>Galeria 01 - CI-Vol 9</v>
      </c>
    </row>
    <row r="121" spans="1:43" ht="14.4" x14ac:dyDescent="0.3">
      <c r="A121" s="30">
        <v>84</v>
      </c>
      <c r="B121" s="12" t="s">
        <v>144</v>
      </c>
      <c r="C121">
        <v>2024</v>
      </c>
      <c r="D121" t="s">
        <v>211</v>
      </c>
      <c r="E121" s="16">
        <v>45446</v>
      </c>
      <c r="F121" t="s">
        <v>184</v>
      </c>
      <c r="G121">
        <v>84</v>
      </c>
      <c r="H121">
        <f t="shared" si="8"/>
        <v>159</v>
      </c>
      <c r="I121">
        <f>+Tabla5[[#This Row],[N°TOTAL TALADROS CARGADOS]]</f>
        <v>159</v>
      </c>
      <c r="L121">
        <v>159</v>
      </c>
      <c r="O121">
        <f>Tabla5[[#This Row],[Taladros Simples]]+Tabla5[[#This Row],[Taladros Dobles]]+Tabla5[[#This Row],[Taladros Triples]]</f>
        <v>159</v>
      </c>
      <c r="Q121" s="17">
        <v>60</v>
      </c>
      <c r="S121" s="17">
        <v>340</v>
      </c>
      <c r="U121" t="s">
        <v>153</v>
      </c>
      <c r="V121">
        <v>30</v>
      </c>
      <c r="W121">
        <v>200</v>
      </c>
      <c r="AE121">
        <v>3.13</v>
      </c>
      <c r="AF121" t="e">
        <f>-#REF!</f>
        <v>#REF!</v>
      </c>
      <c r="AP121" t="str">
        <f t="shared" si="12"/>
        <v>Túnel completo-Vol 84</v>
      </c>
    </row>
    <row r="122" spans="1:43" ht="14.4" x14ac:dyDescent="0.3">
      <c r="A122" s="30">
        <v>85</v>
      </c>
      <c r="B122" s="12" t="s">
        <v>144</v>
      </c>
      <c r="C122">
        <v>2024</v>
      </c>
      <c r="D122" t="s">
        <v>211</v>
      </c>
      <c r="E122" s="16">
        <v>45447</v>
      </c>
      <c r="F122" t="s">
        <v>184</v>
      </c>
      <c r="G122">
        <v>85</v>
      </c>
      <c r="H122">
        <f t="shared" si="8"/>
        <v>174</v>
      </c>
      <c r="I122">
        <f>+Tabla5[[#This Row],[N°TOTAL TALADROS CARGADOS]]</f>
        <v>174</v>
      </c>
      <c r="L122">
        <v>174</v>
      </c>
      <c r="O122">
        <f>Tabla5[[#This Row],[Taladros Simples]]+Tabla5[[#This Row],[Taladros Dobles]]+Tabla5[[#This Row],[Taladros Triples]]</f>
        <v>174</v>
      </c>
      <c r="Q122" s="17">
        <v>57</v>
      </c>
      <c r="S122" s="17">
        <v>297</v>
      </c>
      <c r="U122" t="s">
        <v>215</v>
      </c>
      <c r="V122">
        <v>12</v>
      </c>
      <c r="W122">
        <v>200</v>
      </c>
      <c r="AE122">
        <v>4.07</v>
      </c>
      <c r="AF122" t="e">
        <f>-#REF!</f>
        <v>#REF!</v>
      </c>
      <c r="AP122" t="str">
        <f t="shared" si="12"/>
        <v>Túnel completo-Vol 85</v>
      </c>
    </row>
    <row r="123" spans="1:43" ht="14.4" x14ac:dyDescent="0.3">
      <c r="A123" s="30">
        <v>86</v>
      </c>
      <c r="B123" s="12" t="s">
        <v>144</v>
      </c>
      <c r="C123">
        <v>2024</v>
      </c>
      <c r="D123" t="s">
        <v>211</v>
      </c>
      <c r="E123" s="16">
        <v>45447</v>
      </c>
      <c r="F123" t="s">
        <v>184</v>
      </c>
      <c r="G123">
        <v>86</v>
      </c>
      <c r="H123">
        <f t="shared" si="8"/>
        <v>161</v>
      </c>
      <c r="I123">
        <f>+Tabla5[[#This Row],[N°TOTAL TALADROS CARGADOS]]</f>
        <v>161</v>
      </c>
      <c r="L123">
        <v>161</v>
      </c>
      <c r="O123">
        <f>Tabla5[[#This Row],[Taladros Simples]]+Tabla5[[#This Row],[Taladros Dobles]]+Tabla5[[#This Row],[Taladros Triples]]</f>
        <v>161</v>
      </c>
      <c r="Q123" s="17">
        <v>108</v>
      </c>
      <c r="S123" s="17">
        <v>336</v>
      </c>
      <c r="U123" t="s">
        <v>215</v>
      </c>
      <c r="V123">
        <v>34</v>
      </c>
      <c r="W123">
        <v>200</v>
      </c>
      <c r="AE123">
        <v>3.14</v>
      </c>
      <c r="AF123" t="e">
        <f>-#REF!</f>
        <v>#REF!</v>
      </c>
      <c r="AP123" t="str">
        <f t="shared" si="12"/>
        <v>Túnel completo-Vol 86</v>
      </c>
    </row>
    <row r="124" spans="1:43" ht="14.4" x14ac:dyDescent="0.3">
      <c r="A124" s="30">
        <v>10</v>
      </c>
      <c r="B124" s="12" t="s">
        <v>199</v>
      </c>
      <c r="C124">
        <v>2024</v>
      </c>
      <c r="D124" t="s">
        <v>211</v>
      </c>
      <c r="E124" s="16">
        <v>45447</v>
      </c>
      <c r="F124" t="s">
        <v>213</v>
      </c>
      <c r="G124">
        <v>10</v>
      </c>
      <c r="H124">
        <f t="shared" si="8"/>
        <v>96</v>
      </c>
      <c r="I124">
        <f>+Tabla5[[#This Row],[N°TOTAL TALADROS CARGADOS]]</f>
        <v>96</v>
      </c>
      <c r="L124">
        <v>96</v>
      </c>
      <c r="O124">
        <f>Tabla5[[#This Row],[Taladros Simples]]+Tabla5[[#This Row],[Taladros Dobles]]+Tabla5[[#This Row],[Taladros Triples]]</f>
        <v>96</v>
      </c>
      <c r="Q124" s="17">
        <v>0</v>
      </c>
      <c r="S124" s="17">
        <v>179</v>
      </c>
      <c r="U124" t="s">
        <v>216</v>
      </c>
      <c r="V124">
        <v>0</v>
      </c>
      <c r="W124">
        <v>200</v>
      </c>
      <c r="AE124">
        <v>2.5499999999999998</v>
      </c>
      <c r="AF124" t="e">
        <f>-#REF!</f>
        <v>#REF!</v>
      </c>
      <c r="AP124" t="str">
        <f t="shared" si="12"/>
        <v>Galeria 01 - CI-Vol 10</v>
      </c>
    </row>
    <row r="125" spans="1:43" ht="14.4" x14ac:dyDescent="0.3">
      <c r="A125" s="30">
        <v>87</v>
      </c>
      <c r="B125" s="12" t="s">
        <v>144</v>
      </c>
      <c r="C125">
        <v>2024</v>
      </c>
      <c r="D125" t="s">
        <v>211</v>
      </c>
      <c r="E125" s="16">
        <v>45448</v>
      </c>
      <c r="F125" t="s">
        <v>184</v>
      </c>
      <c r="G125">
        <v>87</v>
      </c>
      <c r="H125">
        <f t="shared" si="8"/>
        <v>175</v>
      </c>
      <c r="I125">
        <f>+Tabla5[[#This Row],[N°TOTAL TALADROS CARGADOS]]</f>
        <v>175</v>
      </c>
      <c r="L125">
        <v>175</v>
      </c>
      <c r="O125">
        <f>Tabla5[[#This Row],[Taladros Simples]]+Tabla5[[#This Row],[Taladros Dobles]]+Tabla5[[#This Row],[Taladros Triples]]</f>
        <v>175</v>
      </c>
      <c r="Q125" s="17">
        <v>35.5</v>
      </c>
      <c r="S125" s="17">
        <v>380</v>
      </c>
      <c r="U125" t="s">
        <v>215</v>
      </c>
      <c r="V125">
        <v>60</v>
      </c>
      <c r="W125">
        <v>200</v>
      </c>
      <c r="AE125">
        <v>3.2</v>
      </c>
      <c r="AF125" t="e">
        <f>-#REF!</f>
        <v>#REF!</v>
      </c>
      <c r="AP125" t="str">
        <f t="shared" si="12"/>
        <v>Túnel completo-Vol 87</v>
      </c>
    </row>
    <row r="126" spans="1:43" ht="14.4" x14ac:dyDescent="0.3">
      <c r="A126" s="30">
        <v>88</v>
      </c>
      <c r="B126" s="12" t="s">
        <v>144</v>
      </c>
      <c r="C126">
        <v>2024</v>
      </c>
      <c r="D126" t="s">
        <v>211</v>
      </c>
      <c r="E126" s="16">
        <v>45448</v>
      </c>
      <c r="F126" t="s">
        <v>184</v>
      </c>
      <c r="G126">
        <v>88</v>
      </c>
      <c r="H126">
        <f t="shared" si="8"/>
        <v>175</v>
      </c>
      <c r="I126">
        <f>+Tabla5[[#This Row],[N°TOTAL TALADROS CARGADOS]]</f>
        <v>175</v>
      </c>
      <c r="L126">
        <v>175</v>
      </c>
      <c r="O126">
        <f>Tabla5[[#This Row],[Taladros Simples]]+Tabla5[[#This Row],[Taladros Dobles]]+Tabla5[[#This Row],[Taladros Triples]]</f>
        <v>175</v>
      </c>
      <c r="Q126" s="17">
        <v>76.5</v>
      </c>
      <c r="S126" s="17">
        <v>383.5</v>
      </c>
      <c r="U126" t="s">
        <v>215</v>
      </c>
      <c r="V126">
        <v>29.5</v>
      </c>
      <c r="W126">
        <v>200</v>
      </c>
      <c r="AE126">
        <v>3.38</v>
      </c>
      <c r="AF126" t="e">
        <f>-#REF!</f>
        <v>#REF!</v>
      </c>
      <c r="AP126" t="str">
        <f t="shared" si="12"/>
        <v>Túnel completo-Vol 88</v>
      </c>
    </row>
    <row r="127" spans="1:43" ht="14.4" x14ac:dyDescent="0.3">
      <c r="A127" s="30">
        <v>11</v>
      </c>
      <c r="B127" s="12" t="s">
        <v>199</v>
      </c>
      <c r="C127">
        <v>2024</v>
      </c>
      <c r="D127" t="s">
        <v>211</v>
      </c>
      <c r="E127" s="16">
        <v>45448</v>
      </c>
      <c r="F127" t="s">
        <v>184</v>
      </c>
      <c r="G127">
        <v>11</v>
      </c>
      <c r="H127">
        <f t="shared" si="8"/>
        <v>66</v>
      </c>
      <c r="I127">
        <f>+Tabla5[[#This Row],[N°TOTAL TALADROS CARGADOS]]</f>
        <v>66</v>
      </c>
      <c r="L127">
        <v>66</v>
      </c>
      <c r="O127">
        <f>Tabla5[[#This Row],[Taladros Simples]]+Tabla5[[#This Row],[Taladros Dobles]]+Tabla5[[#This Row],[Taladros Triples]]</f>
        <v>66</v>
      </c>
      <c r="Q127" s="17">
        <v>0</v>
      </c>
      <c r="S127" s="17">
        <v>101</v>
      </c>
      <c r="U127" t="s">
        <v>216</v>
      </c>
      <c r="V127">
        <v>0</v>
      </c>
      <c r="W127">
        <v>200</v>
      </c>
      <c r="AE127">
        <v>2.5499999999999998</v>
      </c>
      <c r="AF127" t="e">
        <f>-#REF!</f>
        <v>#REF!</v>
      </c>
      <c r="AP127" t="str">
        <f t="shared" si="12"/>
        <v>Túnel completo-Vol 11</v>
      </c>
    </row>
    <row r="128" spans="1:43" ht="14.4" x14ac:dyDescent="0.3">
      <c r="A128" s="30">
        <v>89</v>
      </c>
      <c r="B128" s="12" t="s">
        <v>144</v>
      </c>
      <c r="C128">
        <v>2024</v>
      </c>
      <c r="D128" t="s">
        <v>211</v>
      </c>
      <c r="E128" s="16">
        <v>45449</v>
      </c>
      <c r="F128" t="s">
        <v>184</v>
      </c>
      <c r="G128">
        <v>89</v>
      </c>
      <c r="H128">
        <f t="shared" si="8"/>
        <v>171</v>
      </c>
      <c r="I128">
        <f>+Tabla5[[#This Row],[N°TOTAL TALADROS CARGADOS]]</f>
        <v>171</v>
      </c>
      <c r="L128">
        <v>171</v>
      </c>
      <c r="O128">
        <f>Tabla5[[#This Row],[Taladros Simples]]+Tabla5[[#This Row],[Taladros Dobles]]+Tabla5[[#This Row],[Taladros Triples]]</f>
        <v>171</v>
      </c>
      <c r="Q128" s="17">
        <v>110</v>
      </c>
      <c r="S128" s="17">
        <v>406.5</v>
      </c>
      <c r="U128" t="s">
        <v>215</v>
      </c>
      <c r="V128">
        <v>53.5</v>
      </c>
      <c r="W128">
        <v>200</v>
      </c>
      <c r="AE128">
        <v>4.25</v>
      </c>
      <c r="AF128" t="e">
        <f>-#REF!</f>
        <v>#REF!</v>
      </c>
      <c r="AP128" t="str">
        <f t="shared" si="12"/>
        <v>Túnel completo-Vol 89</v>
      </c>
      <c r="AQ128" t="s">
        <v>217</v>
      </c>
    </row>
    <row r="129" spans="1:42" ht="14.4" x14ac:dyDescent="0.3">
      <c r="A129" s="30">
        <v>12</v>
      </c>
      <c r="B129" s="12" t="s">
        <v>199</v>
      </c>
      <c r="C129">
        <v>2024</v>
      </c>
      <c r="D129" t="s">
        <v>211</v>
      </c>
      <c r="E129" s="16">
        <v>45449</v>
      </c>
      <c r="F129" t="s">
        <v>213</v>
      </c>
      <c r="G129">
        <v>12</v>
      </c>
      <c r="H129">
        <f t="shared" si="8"/>
        <v>92</v>
      </c>
      <c r="I129">
        <f>+Tabla5[[#This Row],[N°TOTAL TALADROS CARGADOS]]</f>
        <v>92</v>
      </c>
      <c r="L129">
        <v>92</v>
      </c>
      <c r="O129">
        <f>Tabla5[[#This Row],[Taladros Simples]]+Tabla5[[#This Row],[Taladros Dobles]]+Tabla5[[#This Row],[Taladros Triples]]</f>
        <v>92</v>
      </c>
      <c r="Q129" s="17">
        <v>0</v>
      </c>
      <c r="U129" t="s">
        <v>216</v>
      </c>
      <c r="V129">
        <v>0</v>
      </c>
      <c r="W129">
        <v>200</v>
      </c>
      <c r="AE129">
        <v>2.4</v>
      </c>
      <c r="AF129" t="e">
        <f>-#REF!</f>
        <v>#REF!</v>
      </c>
      <c r="AP129" t="str">
        <f t="shared" si="12"/>
        <v>Galeria 01 - CI-Vol 12</v>
      </c>
    </row>
    <row r="130" spans="1:42" ht="14.4" x14ac:dyDescent="0.3">
      <c r="A130" s="30">
        <v>90</v>
      </c>
      <c r="B130" s="12" t="s">
        <v>144</v>
      </c>
      <c r="C130">
        <v>2024</v>
      </c>
      <c r="D130" t="s">
        <v>211</v>
      </c>
      <c r="E130" s="16">
        <v>45449</v>
      </c>
      <c r="F130" t="s">
        <v>184</v>
      </c>
      <c r="G130">
        <v>90</v>
      </c>
      <c r="H130">
        <f t="shared" si="8"/>
        <v>175</v>
      </c>
      <c r="I130">
        <f>+Tabla5[[#This Row],[N°TOTAL TALADROS CARGADOS]]</f>
        <v>175</v>
      </c>
      <c r="L130">
        <v>175</v>
      </c>
      <c r="O130">
        <f>Tabla5[[#This Row],[Taladros Simples]]+Tabla5[[#This Row],[Taladros Dobles]]+Tabla5[[#This Row],[Taladros Triples]]</f>
        <v>175</v>
      </c>
      <c r="Q130" s="17">
        <v>96</v>
      </c>
      <c r="S130" s="17">
        <v>496</v>
      </c>
      <c r="U130" t="s">
        <v>215</v>
      </c>
      <c r="V130">
        <v>70</v>
      </c>
      <c r="W130">
        <v>200</v>
      </c>
      <c r="AE130">
        <v>3.6</v>
      </c>
      <c r="AF130" t="e">
        <f>-#REF!</f>
        <v>#REF!</v>
      </c>
      <c r="AP130" t="str">
        <f t="shared" si="12"/>
        <v>Túnel completo-Vol 90</v>
      </c>
    </row>
    <row r="131" spans="1:42" ht="14.4" x14ac:dyDescent="0.3">
      <c r="A131" s="30">
        <v>13</v>
      </c>
      <c r="B131" s="12" t="s">
        <v>199</v>
      </c>
      <c r="C131">
        <v>2024</v>
      </c>
      <c r="D131" t="s">
        <v>211</v>
      </c>
      <c r="E131" s="16">
        <v>45449</v>
      </c>
      <c r="F131" t="s">
        <v>213</v>
      </c>
      <c r="G131">
        <v>13</v>
      </c>
      <c r="H131">
        <f t="shared" si="8"/>
        <v>92</v>
      </c>
      <c r="I131">
        <f>+Tabla5[[#This Row],[N°TOTAL TALADROS CARGADOS]]</f>
        <v>92</v>
      </c>
      <c r="L131">
        <v>92</v>
      </c>
      <c r="O131">
        <f>Tabla5[[#This Row],[Taladros Simples]]+Tabla5[[#This Row],[Taladros Dobles]]+Tabla5[[#This Row],[Taladros Triples]]</f>
        <v>92</v>
      </c>
      <c r="Q131" s="17">
        <v>15</v>
      </c>
      <c r="S131" s="17">
        <v>96</v>
      </c>
      <c r="U131" t="s">
        <v>216</v>
      </c>
      <c r="V131">
        <v>0</v>
      </c>
      <c r="W131">
        <v>200</v>
      </c>
      <c r="AE131">
        <v>2.9</v>
      </c>
      <c r="AF131" t="e">
        <f>-#REF!</f>
        <v>#REF!</v>
      </c>
      <c r="AP131" t="str">
        <f t="shared" si="12"/>
        <v>Galeria 01 - CI-Vol 13</v>
      </c>
    </row>
    <row r="132" spans="1:42" ht="14.4" x14ac:dyDescent="0.3">
      <c r="A132" s="30">
        <v>91</v>
      </c>
      <c r="B132" s="12" t="s">
        <v>144</v>
      </c>
      <c r="C132">
        <v>2024</v>
      </c>
      <c r="D132" t="s">
        <v>211</v>
      </c>
      <c r="E132" s="16">
        <v>45450</v>
      </c>
      <c r="F132" t="s">
        <v>184</v>
      </c>
      <c r="G132">
        <v>91</v>
      </c>
      <c r="H132">
        <f t="shared" si="8"/>
        <v>175</v>
      </c>
      <c r="I132">
        <f>+Tabla5[[#This Row],[N°TOTAL TALADROS CARGADOS]]</f>
        <v>175</v>
      </c>
      <c r="L132">
        <v>175</v>
      </c>
      <c r="O132">
        <f>Tabla5[[#This Row],[Taladros Simples]]+Tabla5[[#This Row],[Taladros Dobles]]+Tabla5[[#This Row],[Taladros Triples]]</f>
        <v>175</v>
      </c>
      <c r="Q132" s="17">
        <v>120</v>
      </c>
      <c r="S132" s="17">
        <v>550</v>
      </c>
      <c r="U132" t="s">
        <v>215</v>
      </c>
      <c r="V132">
        <v>80</v>
      </c>
      <c r="W132">
        <v>200</v>
      </c>
      <c r="AE132">
        <v>3.45</v>
      </c>
      <c r="AF132" t="e">
        <f>-#REF!</f>
        <v>#REF!</v>
      </c>
      <c r="AP132" t="str">
        <f t="shared" si="12"/>
        <v>Túnel completo-Vol 91</v>
      </c>
    </row>
    <row r="133" spans="1:42" ht="14.4" x14ac:dyDescent="0.3">
      <c r="A133" s="30">
        <v>14</v>
      </c>
      <c r="B133" s="12" t="s">
        <v>199</v>
      </c>
      <c r="C133">
        <v>2024</v>
      </c>
      <c r="D133" t="s">
        <v>211</v>
      </c>
      <c r="E133" s="16">
        <v>45450</v>
      </c>
      <c r="F133" t="s">
        <v>213</v>
      </c>
      <c r="G133">
        <v>14</v>
      </c>
      <c r="H133">
        <f t="shared" si="8"/>
        <v>108</v>
      </c>
      <c r="I133">
        <f>+Tabla5[[#This Row],[N°TOTAL TALADROS CARGADOS]]</f>
        <v>108</v>
      </c>
      <c r="L133">
        <v>108</v>
      </c>
      <c r="O133">
        <f>Tabla5[[#This Row],[Taladros Simples]]+Tabla5[[#This Row],[Taladros Dobles]]+Tabla5[[#This Row],[Taladros Triples]]</f>
        <v>108</v>
      </c>
      <c r="Q133" s="17">
        <v>19</v>
      </c>
      <c r="S133" s="17">
        <v>129</v>
      </c>
      <c r="U133" t="s">
        <v>216</v>
      </c>
      <c r="V133">
        <v>0</v>
      </c>
      <c r="W133">
        <v>200</v>
      </c>
      <c r="AE133">
        <v>3</v>
      </c>
      <c r="AF133" t="e">
        <f>-#REF!</f>
        <v>#REF!</v>
      </c>
      <c r="AP133" t="str">
        <f t="shared" si="12"/>
        <v>Galeria 01 - CI-Vol 14</v>
      </c>
    </row>
    <row r="134" spans="1:42" ht="14.4" x14ac:dyDescent="0.3">
      <c r="A134" s="30">
        <v>92</v>
      </c>
      <c r="B134" s="12" t="s">
        <v>144</v>
      </c>
      <c r="C134">
        <v>2024</v>
      </c>
      <c r="D134" t="s">
        <v>211</v>
      </c>
      <c r="E134" s="16">
        <v>45450</v>
      </c>
      <c r="F134" t="s">
        <v>184</v>
      </c>
      <c r="G134">
        <v>92</v>
      </c>
      <c r="H134">
        <f t="shared" si="8"/>
        <v>183</v>
      </c>
      <c r="I134">
        <f>+Tabla5[[#This Row],[N°TOTAL TALADROS CARGADOS]]</f>
        <v>183</v>
      </c>
      <c r="L134">
        <v>183</v>
      </c>
      <c r="O134">
        <f>Tabla5[[#This Row],[Taladros Simples]]+Tabla5[[#This Row],[Taladros Dobles]]+Tabla5[[#This Row],[Taladros Triples]]</f>
        <v>183</v>
      </c>
      <c r="Q134" s="17">
        <v>300</v>
      </c>
      <c r="S134" s="17">
        <v>420</v>
      </c>
      <c r="U134" t="s">
        <v>215</v>
      </c>
      <c r="V134">
        <v>79</v>
      </c>
      <c r="W134">
        <v>200</v>
      </c>
      <c r="AE134">
        <v>4.28</v>
      </c>
      <c r="AF134" t="e">
        <f>-#REF!</f>
        <v>#REF!</v>
      </c>
      <c r="AP134" t="str">
        <f t="shared" si="12"/>
        <v>Túnel completo-Vol 92</v>
      </c>
    </row>
    <row r="135" spans="1:42" ht="14.4" x14ac:dyDescent="0.3">
      <c r="A135" s="30">
        <v>15</v>
      </c>
      <c r="B135" s="12" t="s">
        <v>199</v>
      </c>
      <c r="C135">
        <v>2024</v>
      </c>
      <c r="D135" t="s">
        <v>211</v>
      </c>
      <c r="E135" s="16">
        <v>45450</v>
      </c>
      <c r="F135" t="s">
        <v>213</v>
      </c>
      <c r="G135">
        <v>15</v>
      </c>
      <c r="H135">
        <f t="shared" si="8"/>
        <v>107</v>
      </c>
      <c r="I135">
        <f>+Tabla5[[#This Row],[N°TOTAL TALADROS CARGADOS]]</f>
        <v>107</v>
      </c>
      <c r="L135">
        <v>107</v>
      </c>
      <c r="O135">
        <f>Tabla5[[#This Row],[Taladros Simples]]+Tabla5[[#This Row],[Taladros Dobles]]+Tabla5[[#This Row],[Taladros Triples]]</f>
        <v>107</v>
      </c>
      <c r="Q135" s="17">
        <v>17</v>
      </c>
      <c r="S135" s="17">
        <v>24</v>
      </c>
      <c r="U135" t="s">
        <v>216</v>
      </c>
      <c r="V135">
        <v>0</v>
      </c>
      <c r="W135">
        <v>200</v>
      </c>
      <c r="AE135">
        <v>3.15</v>
      </c>
      <c r="AF135" t="e">
        <f>-#REF!</f>
        <v>#REF!</v>
      </c>
      <c r="AP135" t="str">
        <f>CONCATENATE(F138,"-","Vol"," ",G135)</f>
        <v>Galeria 01 - CI-Vol 15</v>
      </c>
    </row>
    <row r="136" spans="1:42" ht="14.4" x14ac:dyDescent="0.3">
      <c r="A136" s="30">
        <v>93</v>
      </c>
      <c r="B136" s="12" t="s">
        <v>144</v>
      </c>
      <c r="C136">
        <v>2024</v>
      </c>
      <c r="D136" t="s">
        <v>211</v>
      </c>
      <c r="E136" s="16">
        <v>45451</v>
      </c>
      <c r="F136" t="s">
        <v>184</v>
      </c>
      <c r="G136">
        <v>93</v>
      </c>
      <c r="H136">
        <f t="shared" si="8"/>
        <v>182</v>
      </c>
      <c r="I136">
        <f>+Tabla5[[#This Row],[N°TOTAL TALADROS CARGADOS]]</f>
        <v>182</v>
      </c>
      <c r="L136">
        <v>182</v>
      </c>
      <c r="O136">
        <f>Tabla5[[#This Row],[Taladros Simples]]+Tabla5[[#This Row],[Taladros Dobles]]+Tabla5[[#This Row],[Taladros Triples]]</f>
        <v>182</v>
      </c>
      <c r="Q136" s="17">
        <v>86</v>
      </c>
      <c r="S136" s="17">
        <v>681</v>
      </c>
      <c r="U136" t="s">
        <v>218</v>
      </c>
      <c r="V136">
        <v>92</v>
      </c>
      <c r="W136">
        <v>200</v>
      </c>
      <c r="AE136">
        <v>3.6</v>
      </c>
      <c r="AF136" t="e">
        <f>-#REF!</f>
        <v>#REF!</v>
      </c>
      <c r="AP136" t="str">
        <f>CONCATENATE(F136,"-","Vol"," ",G136)</f>
        <v>Túnel completo-Vol 93</v>
      </c>
    </row>
    <row r="137" spans="1:42" ht="14.4" x14ac:dyDescent="0.3">
      <c r="A137" s="30">
        <v>94</v>
      </c>
      <c r="B137" s="12" t="s">
        <v>144</v>
      </c>
      <c r="C137">
        <v>2024</v>
      </c>
      <c r="D137" t="s">
        <v>211</v>
      </c>
      <c r="E137" s="16">
        <v>45451</v>
      </c>
      <c r="F137" t="s">
        <v>184</v>
      </c>
      <c r="G137">
        <v>94</v>
      </c>
      <c r="H137">
        <f t="shared" si="8"/>
        <v>176</v>
      </c>
      <c r="I137">
        <f>+Tabla5[[#This Row],[N°TOTAL TALADROS CARGADOS]]</f>
        <v>176</v>
      </c>
      <c r="L137">
        <v>176</v>
      </c>
      <c r="O137">
        <v>176</v>
      </c>
      <c r="Q137" s="17">
        <v>92</v>
      </c>
      <c r="S137" s="17">
        <v>510.5</v>
      </c>
      <c r="U137" t="s">
        <v>218</v>
      </c>
      <c r="V137">
        <v>47</v>
      </c>
      <c r="W137">
        <v>200</v>
      </c>
      <c r="AE137">
        <v>4.13</v>
      </c>
      <c r="AF137" t="e">
        <f>-#REF!</f>
        <v>#REF!</v>
      </c>
      <c r="AP137" t="str">
        <f>CONCATENATE(F137,"-","Vol"," ",G137)</f>
        <v>Túnel completo-Vol 94</v>
      </c>
    </row>
    <row r="138" spans="1:42" ht="14.4" x14ac:dyDescent="0.3">
      <c r="A138" s="30">
        <v>16</v>
      </c>
      <c r="B138" s="12" t="s">
        <v>199</v>
      </c>
      <c r="C138">
        <v>2024</v>
      </c>
      <c r="D138" t="s">
        <v>211</v>
      </c>
      <c r="E138" s="16">
        <v>45451</v>
      </c>
      <c r="F138" t="s">
        <v>213</v>
      </c>
      <c r="G138">
        <v>16</v>
      </c>
      <c r="H138">
        <f t="shared" si="8"/>
        <v>116</v>
      </c>
      <c r="I138">
        <v>116</v>
      </c>
      <c r="L138">
        <v>116</v>
      </c>
      <c r="O138">
        <f>Tabla5[[#This Row],[Taladros Simples]]+Tabla5[[#This Row],[Taladros Dobles]]+Tabla5[[#This Row],[Taladros Triples]]</f>
        <v>116</v>
      </c>
      <c r="Q138" s="17">
        <v>17</v>
      </c>
      <c r="S138" s="17">
        <v>250</v>
      </c>
      <c r="U138" t="s">
        <v>219</v>
      </c>
      <c r="V138">
        <v>0</v>
      </c>
      <c r="W138">
        <v>200</v>
      </c>
      <c r="AE138">
        <v>3.2</v>
      </c>
      <c r="AF138" t="e">
        <f>-#REF!</f>
        <v>#REF!</v>
      </c>
      <c r="AP138" t="e">
        <f>CONCATENATE(#REF!,"-","Vol"," ",G138)</f>
        <v>#REF!</v>
      </c>
    </row>
    <row r="139" spans="1:42" ht="14.4" x14ac:dyDescent="0.3">
      <c r="A139" s="30">
        <v>95</v>
      </c>
      <c r="B139" s="12" t="s">
        <v>144</v>
      </c>
      <c r="C139">
        <v>2024</v>
      </c>
      <c r="D139" t="s">
        <v>211</v>
      </c>
      <c r="E139" s="16">
        <v>45452</v>
      </c>
      <c r="F139" t="s">
        <v>184</v>
      </c>
      <c r="G139">
        <v>95</v>
      </c>
      <c r="H139">
        <f t="shared" si="8"/>
        <v>165</v>
      </c>
      <c r="I139">
        <f>+Tabla5[[#This Row],[N°TOTAL TALADROS CARGADOS]]</f>
        <v>165</v>
      </c>
      <c r="L139">
        <v>165</v>
      </c>
      <c r="O139">
        <v>165</v>
      </c>
      <c r="Q139" s="17">
        <v>100</v>
      </c>
      <c r="S139" s="17">
        <v>382.5</v>
      </c>
      <c r="V139">
        <v>40</v>
      </c>
      <c r="W139">
        <v>200</v>
      </c>
      <c r="AE139">
        <v>4.2</v>
      </c>
      <c r="AF139" t="e">
        <f>-#REF!</f>
        <v>#REF!</v>
      </c>
      <c r="AP139" t="str">
        <f t="shared" ref="AP139:AP155" si="13">CONCATENATE(F139,"-","Vol"," ",G139)</f>
        <v>Túnel completo-Vol 95</v>
      </c>
    </row>
    <row r="140" spans="1:42" ht="14.4" x14ac:dyDescent="0.3">
      <c r="A140" s="30">
        <v>17</v>
      </c>
      <c r="B140" s="12" t="s">
        <v>199</v>
      </c>
      <c r="C140">
        <v>2024</v>
      </c>
      <c r="D140" t="s">
        <v>211</v>
      </c>
      <c r="E140" s="16">
        <v>45452</v>
      </c>
      <c r="F140" t="s">
        <v>213</v>
      </c>
      <c r="G140">
        <v>17</v>
      </c>
      <c r="H140">
        <f t="shared" si="8"/>
        <v>104</v>
      </c>
      <c r="I140">
        <f>+Tabla5[[#This Row],[N°TOTAL TALADROS CARGADOS]]</f>
        <v>104</v>
      </c>
      <c r="J140">
        <v>0</v>
      </c>
      <c r="L140">
        <v>104</v>
      </c>
      <c r="O140">
        <f>Tabla5[[#This Row],[Taladros Simples]]+Tabla5[[#This Row],[Taladros Dobles]]+Tabla5[[#This Row],[Taladros Triples]]</f>
        <v>104</v>
      </c>
      <c r="Q140" s="17">
        <v>4</v>
      </c>
      <c r="S140" s="17">
        <v>19</v>
      </c>
      <c r="V140">
        <v>0</v>
      </c>
      <c r="W140">
        <v>200</v>
      </c>
      <c r="AE140">
        <v>3.75</v>
      </c>
      <c r="AF140" t="e">
        <f>-#REF!</f>
        <v>#REF!</v>
      </c>
      <c r="AP140" t="str">
        <f t="shared" si="13"/>
        <v>Galeria 01 - CI-Vol 17</v>
      </c>
    </row>
    <row r="141" spans="1:42" ht="14.4" x14ac:dyDescent="0.3">
      <c r="A141" s="30">
        <v>96</v>
      </c>
      <c r="B141" s="12" t="s">
        <v>144</v>
      </c>
      <c r="C141">
        <v>2024</v>
      </c>
      <c r="D141" t="s">
        <v>211</v>
      </c>
      <c r="E141" s="16">
        <v>45452</v>
      </c>
      <c r="F141" t="s">
        <v>184</v>
      </c>
      <c r="G141">
        <v>96</v>
      </c>
      <c r="H141">
        <f>J141</f>
        <v>159</v>
      </c>
      <c r="I141">
        <v>0</v>
      </c>
      <c r="J141">
        <v>159</v>
      </c>
      <c r="L141">
        <v>159</v>
      </c>
      <c r="O141">
        <v>159</v>
      </c>
      <c r="Q141" s="17">
        <v>83</v>
      </c>
      <c r="S141" s="17">
        <v>335</v>
      </c>
      <c r="V141">
        <v>70</v>
      </c>
      <c r="W141">
        <v>200</v>
      </c>
      <c r="AF141" t="e">
        <f>-#REF!</f>
        <v>#REF!</v>
      </c>
      <c r="AP141" t="str">
        <f t="shared" si="13"/>
        <v>Túnel completo-Vol 96</v>
      </c>
    </row>
    <row r="142" spans="1:42" ht="14.4" x14ac:dyDescent="0.3">
      <c r="A142" s="30">
        <v>18</v>
      </c>
      <c r="B142" s="12" t="s">
        <v>199</v>
      </c>
      <c r="C142">
        <v>2024</v>
      </c>
      <c r="D142" t="s">
        <v>211</v>
      </c>
      <c r="E142" s="16">
        <v>45452</v>
      </c>
      <c r="F142" t="s">
        <v>213</v>
      </c>
      <c r="G142">
        <v>18</v>
      </c>
      <c r="H142">
        <v>159</v>
      </c>
      <c r="I142">
        <f>+Tabla5[[#This Row],[N°TOTAL TALADROS CARGADOS]]</f>
        <v>41</v>
      </c>
      <c r="J142">
        <v>0</v>
      </c>
      <c r="L142">
        <v>41</v>
      </c>
      <c r="O142">
        <v>41</v>
      </c>
      <c r="Q142" s="17">
        <v>4</v>
      </c>
      <c r="S142" s="17">
        <v>25</v>
      </c>
      <c r="V142">
        <v>0</v>
      </c>
      <c r="W142">
        <v>200</v>
      </c>
      <c r="AE142">
        <v>3.48</v>
      </c>
      <c r="AF142" t="e">
        <f>-#REF!</f>
        <v>#REF!</v>
      </c>
      <c r="AP142" t="str">
        <f t="shared" si="13"/>
        <v>Galeria 01 - CI-Vol 18</v>
      </c>
    </row>
    <row r="143" spans="1:42" ht="14.4" x14ac:dyDescent="0.3">
      <c r="A143" s="30">
        <v>97</v>
      </c>
      <c r="B143" s="12" t="s">
        <v>144</v>
      </c>
      <c r="C143">
        <v>2024</v>
      </c>
      <c r="D143" t="s">
        <v>211</v>
      </c>
      <c r="E143" s="16">
        <v>45453</v>
      </c>
      <c r="F143" t="s">
        <v>184</v>
      </c>
      <c r="G143">
        <v>97</v>
      </c>
      <c r="H143">
        <v>167</v>
      </c>
      <c r="I143">
        <v>0</v>
      </c>
      <c r="J143">
        <v>167</v>
      </c>
      <c r="L143">
        <v>167</v>
      </c>
      <c r="O143">
        <f>Tabla5[[#This Row],[Taladros Simples]]+Tabla5[[#This Row],[Taladros Dobles]]+Tabla5[[#This Row],[Taladros Triples]]</f>
        <v>167</v>
      </c>
      <c r="Q143" s="17">
        <v>36.5</v>
      </c>
      <c r="S143" s="17">
        <v>78.86</v>
      </c>
      <c r="V143">
        <v>10</v>
      </c>
      <c r="W143">
        <v>200</v>
      </c>
      <c r="AF143" t="e">
        <f>-#REF!</f>
        <v>#REF!</v>
      </c>
      <c r="AP143" t="str">
        <f t="shared" si="13"/>
        <v>Túnel completo-Vol 97</v>
      </c>
    </row>
    <row r="144" spans="1:42" ht="14.4" x14ac:dyDescent="0.3">
      <c r="A144" s="30">
        <v>19</v>
      </c>
      <c r="B144" s="12" t="s">
        <v>199</v>
      </c>
      <c r="C144">
        <v>2024</v>
      </c>
      <c r="D144" t="s">
        <v>211</v>
      </c>
      <c r="E144" s="16">
        <v>45453</v>
      </c>
      <c r="F144" t="s">
        <v>213</v>
      </c>
      <c r="G144">
        <v>19</v>
      </c>
      <c r="H144">
        <f t="shared" si="8"/>
        <v>112</v>
      </c>
      <c r="I144">
        <f>+Tabla5[[#This Row],[N°TOTAL TALADROS CARGADOS]]</f>
        <v>112</v>
      </c>
      <c r="J144">
        <v>0</v>
      </c>
      <c r="L144">
        <v>112</v>
      </c>
      <c r="O144">
        <f>Tabla5[[#This Row],[Taladros Simples]]+Tabla5[[#This Row],[Taladros Dobles]]+Tabla5[[#This Row],[Taladros Triples]]</f>
        <v>112</v>
      </c>
      <c r="Q144" s="17">
        <v>24</v>
      </c>
      <c r="S144" s="17">
        <v>176</v>
      </c>
      <c r="V144">
        <v>0</v>
      </c>
      <c r="W144">
        <v>200</v>
      </c>
      <c r="AE144">
        <v>3.46</v>
      </c>
      <c r="AF144" t="e">
        <f>-#REF!</f>
        <v>#REF!</v>
      </c>
      <c r="AP144" t="str">
        <f t="shared" si="13"/>
        <v>Galeria 01 - CI-Vol 19</v>
      </c>
    </row>
    <row r="145" spans="1:42" ht="14.4" x14ac:dyDescent="0.3">
      <c r="A145" s="30">
        <v>98</v>
      </c>
      <c r="B145" s="12" t="s">
        <v>144</v>
      </c>
      <c r="C145">
        <v>2024</v>
      </c>
      <c r="D145" t="s">
        <v>211</v>
      </c>
      <c r="E145" s="16">
        <v>45453</v>
      </c>
      <c r="F145" t="s">
        <v>184</v>
      </c>
      <c r="G145">
        <v>98</v>
      </c>
      <c r="H145">
        <v>172</v>
      </c>
      <c r="I145">
        <v>0</v>
      </c>
      <c r="J145">
        <v>172</v>
      </c>
      <c r="L145">
        <v>172</v>
      </c>
      <c r="O145">
        <f>Tabla5[[#This Row],[Taladros Simples]]+Tabla5[[#This Row],[Taladros Dobles]]+Tabla5[[#This Row],[Taladros Triples]]</f>
        <v>172</v>
      </c>
      <c r="Q145" s="17">
        <v>187.5</v>
      </c>
      <c r="S145" s="17">
        <v>300</v>
      </c>
      <c r="V145">
        <v>58</v>
      </c>
      <c r="W145">
        <v>200</v>
      </c>
      <c r="AF145" t="e">
        <f>-#REF!</f>
        <v>#REF!</v>
      </c>
      <c r="AP145" t="str">
        <f t="shared" si="13"/>
        <v>Túnel completo-Vol 98</v>
      </c>
    </row>
    <row r="146" spans="1:42" ht="14.4" x14ac:dyDescent="0.3">
      <c r="A146" s="30">
        <v>20</v>
      </c>
      <c r="B146" s="12" t="s">
        <v>199</v>
      </c>
      <c r="C146">
        <v>2024</v>
      </c>
      <c r="D146" t="s">
        <v>211</v>
      </c>
      <c r="E146" s="16">
        <v>45453</v>
      </c>
      <c r="F146" t="s">
        <v>213</v>
      </c>
      <c r="G146">
        <v>20</v>
      </c>
      <c r="H146">
        <v>114</v>
      </c>
      <c r="I146">
        <v>0</v>
      </c>
      <c r="J146">
        <v>114</v>
      </c>
      <c r="L146">
        <v>114</v>
      </c>
      <c r="O146">
        <f>Tabla5[[#This Row],[Taladros Simples]]+Tabla5[[#This Row],[Taladros Dobles]]+Tabla5[[#This Row],[Taladros Triples]]</f>
        <v>114</v>
      </c>
      <c r="Q146" s="17">
        <v>3.25</v>
      </c>
      <c r="S146" s="17">
        <v>42.81</v>
      </c>
      <c r="V146">
        <v>0</v>
      </c>
      <c r="W146">
        <v>200</v>
      </c>
      <c r="AE146">
        <v>3.78</v>
      </c>
      <c r="AF146" t="e">
        <f>-#REF!</f>
        <v>#REF!</v>
      </c>
      <c r="AP146" t="str">
        <f t="shared" si="13"/>
        <v>Galeria 01 - CI-Vol 20</v>
      </c>
    </row>
    <row r="147" spans="1:42" ht="14.4" x14ac:dyDescent="0.3">
      <c r="A147" s="30">
        <v>99</v>
      </c>
      <c r="B147" s="12" t="s">
        <v>144</v>
      </c>
      <c r="C147">
        <v>2024</v>
      </c>
      <c r="D147" t="s">
        <v>211</v>
      </c>
      <c r="E147" s="16">
        <v>45454</v>
      </c>
      <c r="F147" t="s">
        <v>184</v>
      </c>
      <c r="G147">
        <v>99</v>
      </c>
      <c r="H147">
        <v>175</v>
      </c>
      <c r="I147">
        <v>0</v>
      </c>
      <c r="J147">
        <v>175</v>
      </c>
      <c r="L147">
        <v>175</v>
      </c>
      <c r="O147">
        <f>Tabla5[[#This Row],[Taladros Simples]]+Tabla5[[#This Row],[Taladros Dobles]]+Tabla5[[#This Row],[Taladros Triples]]</f>
        <v>175</v>
      </c>
      <c r="Q147" s="17">
        <v>145.5</v>
      </c>
      <c r="S147" s="17">
        <v>290</v>
      </c>
      <c r="V147">
        <v>60</v>
      </c>
      <c r="W147">
        <v>200</v>
      </c>
      <c r="AF147" t="e">
        <f>-#REF!</f>
        <v>#REF!</v>
      </c>
      <c r="AP147" t="str">
        <f t="shared" si="13"/>
        <v>Túnel completo-Vol 99</v>
      </c>
    </row>
    <row r="148" spans="1:42" ht="14.4" x14ac:dyDescent="0.3">
      <c r="A148" s="30">
        <v>21</v>
      </c>
      <c r="B148" s="12" t="s">
        <v>199</v>
      </c>
      <c r="C148">
        <v>2024</v>
      </c>
      <c r="D148" t="s">
        <v>211</v>
      </c>
      <c r="E148" s="16">
        <v>45454</v>
      </c>
      <c r="F148" t="s">
        <v>213</v>
      </c>
      <c r="G148">
        <v>21</v>
      </c>
      <c r="H148">
        <v>118</v>
      </c>
      <c r="I148">
        <v>0</v>
      </c>
      <c r="J148">
        <v>118</v>
      </c>
      <c r="L148">
        <v>118</v>
      </c>
      <c r="O148">
        <f>Tabla5[[#This Row],[Taladros Simples]]+Tabla5[[#This Row],[Taladros Dobles]]+Tabla5[[#This Row],[Taladros Triples]]</f>
        <v>118</v>
      </c>
      <c r="Q148" s="17">
        <v>7.25</v>
      </c>
      <c r="S148" s="17">
        <v>48.14</v>
      </c>
      <c r="V148">
        <v>0</v>
      </c>
      <c r="W148">
        <v>200</v>
      </c>
      <c r="AF148" t="e">
        <f>-#REF!</f>
        <v>#REF!</v>
      </c>
      <c r="AP148" t="str">
        <f t="shared" si="13"/>
        <v>Galeria 01 - CI-Vol 21</v>
      </c>
    </row>
    <row r="149" spans="1:42" ht="14.4" x14ac:dyDescent="0.3">
      <c r="A149" s="30">
        <v>100</v>
      </c>
      <c r="B149" s="12" t="s">
        <v>144</v>
      </c>
      <c r="C149">
        <v>2024</v>
      </c>
      <c r="D149" t="s">
        <v>211</v>
      </c>
      <c r="E149" s="16">
        <v>45454</v>
      </c>
      <c r="F149" t="s">
        <v>184</v>
      </c>
      <c r="G149">
        <v>100</v>
      </c>
      <c r="H149">
        <v>165</v>
      </c>
      <c r="I149">
        <v>0</v>
      </c>
      <c r="J149">
        <v>165</v>
      </c>
      <c r="L149">
        <v>165</v>
      </c>
      <c r="O149">
        <f>Tabla5[[#This Row],[Taladros Simples]]+Tabla5[[#This Row],[Taladros Dobles]]+Tabla5[[#This Row],[Taladros Triples]]</f>
        <v>165</v>
      </c>
      <c r="Q149" s="17">
        <v>43.75</v>
      </c>
      <c r="S149" s="17">
        <v>390</v>
      </c>
      <c r="V149">
        <v>70</v>
      </c>
      <c r="W149">
        <v>200</v>
      </c>
      <c r="AF149" t="e">
        <f>-#REF!</f>
        <v>#REF!</v>
      </c>
      <c r="AP149" t="str">
        <f t="shared" si="13"/>
        <v>Túnel completo-Vol 100</v>
      </c>
    </row>
    <row r="150" spans="1:42" ht="14.4" x14ac:dyDescent="0.3">
      <c r="A150" s="30">
        <v>101</v>
      </c>
      <c r="B150" s="12" t="s">
        <v>144</v>
      </c>
      <c r="C150">
        <v>2024</v>
      </c>
      <c r="D150" t="s">
        <v>211</v>
      </c>
      <c r="E150" s="16">
        <v>45455</v>
      </c>
      <c r="F150" t="s">
        <v>184</v>
      </c>
      <c r="G150">
        <v>101</v>
      </c>
      <c r="H150">
        <v>174</v>
      </c>
      <c r="I150">
        <v>0</v>
      </c>
      <c r="J150">
        <v>174</v>
      </c>
      <c r="L150">
        <v>174</v>
      </c>
      <c r="O150">
        <v>174</v>
      </c>
      <c r="Q150" s="17">
        <v>192</v>
      </c>
      <c r="S150" s="17">
        <v>418</v>
      </c>
      <c r="V150">
        <v>62</v>
      </c>
      <c r="W150">
        <v>200</v>
      </c>
      <c r="AF150" t="e">
        <f>-#REF!</f>
        <v>#REF!</v>
      </c>
      <c r="AP150" t="str">
        <f t="shared" si="13"/>
        <v>Túnel completo-Vol 101</v>
      </c>
    </row>
    <row r="151" spans="1:42" ht="14.4" x14ac:dyDescent="0.3">
      <c r="A151" s="30">
        <v>22</v>
      </c>
      <c r="B151" s="12" t="s">
        <v>199</v>
      </c>
      <c r="C151">
        <v>2024</v>
      </c>
      <c r="D151" t="s">
        <v>211</v>
      </c>
      <c r="E151" s="16">
        <v>45455</v>
      </c>
      <c r="F151" t="s">
        <v>213</v>
      </c>
      <c r="G151">
        <v>22</v>
      </c>
      <c r="H151">
        <v>118</v>
      </c>
      <c r="I151">
        <v>0</v>
      </c>
      <c r="J151">
        <v>118</v>
      </c>
      <c r="L151">
        <v>118</v>
      </c>
      <c r="O151">
        <v>118</v>
      </c>
      <c r="Q151" s="17">
        <v>0</v>
      </c>
      <c r="S151" s="17">
        <v>210</v>
      </c>
      <c r="V151">
        <v>0</v>
      </c>
      <c r="W151">
        <v>200</v>
      </c>
      <c r="AF151" t="e">
        <f>-#REF!</f>
        <v>#REF!</v>
      </c>
      <c r="AP151" t="str">
        <f t="shared" si="13"/>
        <v>Galeria 01 - CI-Vol 22</v>
      </c>
    </row>
    <row r="152" spans="1:42" ht="15" customHeight="1" x14ac:dyDescent="0.3">
      <c r="A152" s="30">
        <v>102</v>
      </c>
      <c r="B152" s="12" t="s">
        <v>144</v>
      </c>
      <c r="C152">
        <v>2024</v>
      </c>
      <c r="D152" t="s">
        <v>211</v>
      </c>
      <c r="E152" s="16">
        <v>45455</v>
      </c>
      <c r="F152" t="s">
        <v>184</v>
      </c>
      <c r="G152">
        <v>102</v>
      </c>
      <c r="H152">
        <v>172</v>
      </c>
      <c r="I152">
        <v>0</v>
      </c>
      <c r="J152">
        <v>172</v>
      </c>
      <c r="L152">
        <v>172</v>
      </c>
      <c r="O152">
        <v>172</v>
      </c>
      <c r="Q152" s="17">
        <v>68</v>
      </c>
      <c r="S152" s="17">
        <v>643.5</v>
      </c>
      <c r="V152">
        <v>67</v>
      </c>
      <c r="W152">
        <v>200</v>
      </c>
      <c r="AF152" t="e">
        <f>-#REF!</f>
        <v>#REF!</v>
      </c>
      <c r="AP152" t="str">
        <f t="shared" si="13"/>
        <v>Túnel completo-Vol 102</v>
      </c>
    </row>
    <row r="153" spans="1:42" ht="14.4" x14ac:dyDescent="0.3">
      <c r="A153" s="30">
        <v>23</v>
      </c>
      <c r="B153" s="12" t="s">
        <v>199</v>
      </c>
      <c r="C153">
        <v>2024</v>
      </c>
      <c r="D153" t="s">
        <v>211</v>
      </c>
      <c r="E153" s="16">
        <v>45455</v>
      </c>
      <c r="F153" t="s">
        <v>213</v>
      </c>
      <c r="G153">
        <v>23</v>
      </c>
      <c r="H153">
        <v>102</v>
      </c>
      <c r="I153">
        <v>0</v>
      </c>
      <c r="J153">
        <v>102</v>
      </c>
      <c r="L153">
        <v>102</v>
      </c>
      <c r="O153">
        <v>102</v>
      </c>
      <c r="Q153" s="17">
        <v>0</v>
      </c>
      <c r="S153" s="17">
        <v>167</v>
      </c>
      <c r="V153">
        <v>0</v>
      </c>
      <c r="W153">
        <v>200</v>
      </c>
      <c r="AF153" t="e">
        <f>-#REF!</f>
        <v>#REF!</v>
      </c>
      <c r="AP153" t="str">
        <f t="shared" si="13"/>
        <v>Galeria 01 - CI-Vol 23</v>
      </c>
    </row>
    <row r="154" spans="1:42" ht="14.4" x14ac:dyDescent="0.3">
      <c r="A154" s="30">
        <v>103</v>
      </c>
      <c r="B154" s="12" t="s">
        <v>144</v>
      </c>
      <c r="C154">
        <v>2024</v>
      </c>
      <c r="D154" t="s">
        <v>211</v>
      </c>
      <c r="E154" s="16">
        <v>45456</v>
      </c>
      <c r="F154" t="s">
        <v>184</v>
      </c>
      <c r="G154">
        <v>103</v>
      </c>
      <c r="H154">
        <v>179</v>
      </c>
      <c r="I154">
        <v>0</v>
      </c>
      <c r="J154">
        <v>179</v>
      </c>
      <c r="L154">
        <v>179</v>
      </c>
      <c r="O154">
        <f>Tabla5[[#This Row],[Taladros Simples]]+Tabla5[[#This Row],[Taladros Dobles]]+Tabla5[[#This Row],[Taladros Triples]]</f>
        <v>179</v>
      </c>
      <c r="Q154" s="17">
        <v>685</v>
      </c>
      <c r="S154" s="17">
        <v>0</v>
      </c>
      <c r="V154">
        <v>79</v>
      </c>
      <c r="X154">
        <v>200</v>
      </c>
      <c r="AF154" t="e">
        <f>-#REF!</f>
        <v>#REF!</v>
      </c>
      <c r="AP154" t="str">
        <f t="shared" si="13"/>
        <v>Túnel completo-Vol 103</v>
      </c>
    </row>
    <row r="155" spans="1:42" ht="14.4" x14ac:dyDescent="0.3">
      <c r="A155" s="30">
        <v>24</v>
      </c>
      <c r="B155" s="12" t="s">
        <v>199</v>
      </c>
      <c r="C155">
        <v>2024</v>
      </c>
      <c r="D155" t="s">
        <v>211</v>
      </c>
      <c r="E155" s="16">
        <v>45456</v>
      </c>
      <c r="F155" t="s">
        <v>213</v>
      </c>
      <c r="G155">
        <v>24</v>
      </c>
      <c r="H155">
        <v>128</v>
      </c>
      <c r="I155">
        <v>0</v>
      </c>
      <c r="J155">
        <v>128</v>
      </c>
      <c r="L155">
        <v>128</v>
      </c>
      <c r="O155">
        <v>128</v>
      </c>
      <c r="Q155" s="17">
        <v>0</v>
      </c>
      <c r="S155" s="17">
        <v>220</v>
      </c>
      <c r="V155">
        <v>0</v>
      </c>
      <c r="W155">
        <v>200</v>
      </c>
      <c r="AF155" t="e">
        <f>-#REF!</f>
        <v>#REF!</v>
      </c>
      <c r="AP155" t="str">
        <f t="shared" si="13"/>
        <v>Galeria 01 - CI-Vol 24</v>
      </c>
    </row>
    <row r="156" spans="1:42" ht="20.25" customHeight="1" x14ac:dyDescent="0.3">
      <c r="A156" s="30">
        <v>104</v>
      </c>
      <c r="B156" s="12" t="s">
        <v>144</v>
      </c>
      <c r="C156">
        <v>2024</v>
      </c>
      <c r="D156" t="s">
        <v>211</v>
      </c>
      <c r="E156" s="16">
        <v>45456</v>
      </c>
      <c r="F156" t="s">
        <v>184</v>
      </c>
      <c r="G156">
        <v>104</v>
      </c>
      <c r="H156">
        <v>178</v>
      </c>
      <c r="I156">
        <v>0</v>
      </c>
      <c r="J156">
        <v>178</v>
      </c>
      <c r="L156">
        <v>178</v>
      </c>
      <c r="O156">
        <f>Tabla5[[#This Row],[Taladros Simples]]+Tabla5[[#This Row],[Taladros Dobles]]+Tabla5[[#This Row],[Taladros Triples]]</f>
        <v>178</v>
      </c>
      <c r="Q156" s="17">
        <v>64</v>
      </c>
      <c r="S156" s="17">
        <v>712.5</v>
      </c>
      <c r="V156">
        <v>94</v>
      </c>
      <c r="X156">
        <v>200</v>
      </c>
      <c r="AF156" t="e">
        <f>-#REF!</f>
        <v>#REF!</v>
      </c>
      <c r="AP156" t="str">
        <f t="shared" ref="AP156:AP162" si="14">CONCATENATE(F156,"-","Vol"," ",G156)</f>
        <v>Túnel completo-Vol 104</v>
      </c>
    </row>
    <row r="157" spans="1:42" ht="14.4" x14ac:dyDescent="0.3">
      <c r="A157" s="30">
        <v>25</v>
      </c>
      <c r="B157" s="12" t="s">
        <v>199</v>
      </c>
      <c r="C157">
        <v>2024</v>
      </c>
      <c r="D157" t="s">
        <v>211</v>
      </c>
      <c r="E157" s="16">
        <v>45456</v>
      </c>
      <c r="F157" t="s">
        <v>213</v>
      </c>
      <c r="G157">
        <v>25</v>
      </c>
      <c r="H157">
        <v>155</v>
      </c>
      <c r="I157">
        <v>0</v>
      </c>
      <c r="J157">
        <v>155</v>
      </c>
      <c r="L157">
        <v>155</v>
      </c>
      <c r="O157">
        <f>Tabla5[[#This Row],[Taladros Simples]]+Tabla5[[#This Row],[Taladros Dobles]]+Tabla5[[#This Row],[Taladros Triples]]</f>
        <v>155</v>
      </c>
      <c r="Q157" s="17">
        <v>43.5</v>
      </c>
      <c r="S157" s="17">
        <v>240</v>
      </c>
      <c r="V157">
        <v>0</v>
      </c>
      <c r="X157">
        <v>200</v>
      </c>
      <c r="AF157" t="e">
        <f>-#REF!</f>
        <v>#REF!</v>
      </c>
      <c r="AP157" t="str">
        <f t="shared" si="14"/>
        <v>Galeria 01 - CI-Vol 25</v>
      </c>
    </row>
    <row r="158" spans="1:42" ht="15" customHeight="1" x14ac:dyDescent="0.3">
      <c r="A158" s="30">
        <v>105</v>
      </c>
      <c r="B158" s="12" t="s">
        <v>144</v>
      </c>
      <c r="C158">
        <v>2024</v>
      </c>
      <c r="D158" t="s">
        <v>211</v>
      </c>
      <c r="E158" s="16">
        <v>45457</v>
      </c>
      <c r="F158" t="s">
        <v>184</v>
      </c>
      <c r="G158">
        <v>105</v>
      </c>
      <c r="H158">
        <v>179</v>
      </c>
      <c r="I158">
        <v>0</v>
      </c>
      <c r="J158">
        <v>179</v>
      </c>
      <c r="L158">
        <v>179</v>
      </c>
      <c r="O158">
        <f>Tabla5[[#This Row],[Taladros Simples]]+Tabla5[[#This Row],[Taladros Dobles]]+Tabla5[[#This Row],[Taladros Triples]]</f>
        <v>179</v>
      </c>
      <c r="Q158" s="17">
        <v>72</v>
      </c>
      <c r="S158" s="17">
        <v>788</v>
      </c>
      <c r="V158">
        <v>94</v>
      </c>
      <c r="X158">
        <v>200</v>
      </c>
      <c r="AF158" t="e">
        <f>-#REF!</f>
        <v>#REF!</v>
      </c>
      <c r="AP158" t="str">
        <f t="shared" si="14"/>
        <v>Túnel completo-Vol 105</v>
      </c>
    </row>
    <row r="159" spans="1:42" ht="15" customHeight="1" x14ac:dyDescent="0.3">
      <c r="A159" s="30">
        <v>26</v>
      </c>
      <c r="B159" s="12" t="s">
        <v>199</v>
      </c>
      <c r="C159">
        <v>2024</v>
      </c>
      <c r="D159" t="s">
        <v>211</v>
      </c>
      <c r="E159" s="16">
        <v>45457</v>
      </c>
      <c r="F159" t="s">
        <v>213</v>
      </c>
      <c r="G159">
        <v>26</v>
      </c>
      <c r="H159">
        <f>J159</f>
        <v>121</v>
      </c>
      <c r="J159">
        <v>121</v>
      </c>
      <c r="L159">
        <v>121</v>
      </c>
      <c r="O159">
        <f>Tabla5[[#This Row],[Taladros Simples]]+Tabla5[[#This Row],[Taladros Dobles]]+Tabla5[[#This Row],[Taladros Triples]]</f>
        <v>121</v>
      </c>
      <c r="Q159" s="17">
        <v>0</v>
      </c>
      <c r="S159" s="17">
        <v>131</v>
      </c>
      <c r="V159">
        <v>0</v>
      </c>
      <c r="X159">
        <v>200</v>
      </c>
      <c r="AF159" t="e">
        <f>-#REF!</f>
        <v>#REF!</v>
      </c>
      <c r="AP159" t="str">
        <f t="shared" si="14"/>
        <v>Galeria 01 - CI-Vol 26</v>
      </c>
    </row>
    <row r="160" spans="1:42" ht="15" customHeight="1" x14ac:dyDescent="0.3">
      <c r="A160" s="30">
        <v>106</v>
      </c>
      <c r="B160" s="12" t="s">
        <v>144</v>
      </c>
      <c r="C160">
        <v>2024</v>
      </c>
      <c r="D160" t="s">
        <v>211</v>
      </c>
      <c r="E160" s="16">
        <v>45457</v>
      </c>
      <c r="F160" t="s">
        <v>184</v>
      </c>
      <c r="G160">
        <v>106</v>
      </c>
      <c r="H160">
        <f t="shared" ref="H160:H223" si="15">J160</f>
        <v>186</v>
      </c>
      <c r="I160">
        <v>0</v>
      </c>
      <c r="J160">
        <v>186</v>
      </c>
      <c r="L160">
        <v>186</v>
      </c>
      <c r="O160">
        <f>Tabla5[[#This Row],[Taladros Simples]]+Tabla5[[#This Row],[Taladros Dobles]]+Tabla5[[#This Row],[Taladros Triples]]</f>
        <v>186</v>
      </c>
      <c r="Q160" s="17">
        <v>62</v>
      </c>
      <c r="S160" s="17">
        <v>860</v>
      </c>
      <c r="V160">
        <v>130</v>
      </c>
      <c r="X160">
        <v>200</v>
      </c>
      <c r="AF160" t="e">
        <f>-#REF!</f>
        <v>#REF!</v>
      </c>
      <c r="AP160" t="str">
        <f t="shared" si="14"/>
        <v>Túnel completo-Vol 106</v>
      </c>
    </row>
    <row r="161" spans="1:42" ht="15" customHeight="1" x14ac:dyDescent="0.3">
      <c r="A161" s="30">
        <v>27</v>
      </c>
      <c r="B161" s="12" t="s">
        <v>199</v>
      </c>
      <c r="C161">
        <v>2024</v>
      </c>
      <c r="D161" t="s">
        <v>211</v>
      </c>
      <c r="E161" s="16">
        <v>45457</v>
      </c>
      <c r="F161" t="s">
        <v>149</v>
      </c>
      <c r="G161">
        <v>27</v>
      </c>
      <c r="H161">
        <f t="shared" si="15"/>
        <v>41</v>
      </c>
      <c r="I161">
        <v>0</v>
      </c>
      <c r="J161">
        <v>41</v>
      </c>
      <c r="L161">
        <v>41</v>
      </c>
      <c r="O161">
        <f>Tabla5[[#This Row],[Taladros Simples]]+Tabla5[[#This Row],[Taladros Dobles]]+Tabla5[[#This Row],[Taladros Triples]]</f>
        <v>41</v>
      </c>
      <c r="Q161" s="17">
        <v>50</v>
      </c>
      <c r="S161" s="17">
        <v>21</v>
      </c>
      <c r="V161">
        <v>0</v>
      </c>
      <c r="X161">
        <v>200</v>
      </c>
      <c r="AF161" t="e">
        <f>-#REF!</f>
        <v>#REF!</v>
      </c>
      <c r="AP161" t="str">
        <f t="shared" si="14"/>
        <v>GAL 01 y GAL 02-Vol 27</v>
      </c>
    </row>
    <row r="162" spans="1:42" ht="15" customHeight="1" x14ac:dyDescent="0.3">
      <c r="A162" s="30">
        <v>107</v>
      </c>
      <c r="B162" s="12" t="s">
        <v>144</v>
      </c>
      <c r="C162">
        <v>2024</v>
      </c>
      <c r="D162" t="s">
        <v>211</v>
      </c>
      <c r="E162" s="16">
        <v>45458</v>
      </c>
      <c r="F162" t="s">
        <v>184</v>
      </c>
      <c r="G162">
        <v>107</v>
      </c>
      <c r="H162">
        <f t="shared" si="15"/>
        <v>175</v>
      </c>
      <c r="I162">
        <v>0</v>
      </c>
      <c r="J162">
        <v>175</v>
      </c>
      <c r="L162">
        <v>175</v>
      </c>
      <c r="O162">
        <f>Tabla5[[#This Row],[Taladros Simples]]+Tabla5[[#This Row],[Taladros Dobles]]+Tabla5[[#This Row],[Taladros Triples]]</f>
        <v>175</v>
      </c>
      <c r="Q162" s="17">
        <v>90</v>
      </c>
      <c r="S162" s="17">
        <v>721.5</v>
      </c>
      <c r="V162">
        <v>55</v>
      </c>
      <c r="X162">
        <v>200</v>
      </c>
      <c r="AF162" t="e">
        <f>-#REF!</f>
        <v>#REF!</v>
      </c>
      <c r="AP162" t="str">
        <f t="shared" si="14"/>
        <v>Túnel completo-Vol 107</v>
      </c>
    </row>
    <row r="163" spans="1:42" ht="15" customHeight="1" x14ac:dyDescent="0.3">
      <c r="A163" s="30">
        <v>28</v>
      </c>
      <c r="B163" s="12" t="s">
        <v>199</v>
      </c>
      <c r="C163">
        <v>2024</v>
      </c>
      <c r="D163" t="s">
        <v>211</v>
      </c>
      <c r="E163" s="16">
        <v>45458</v>
      </c>
      <c r="F163" t="s">
        <v>213</v>
      </c>
      <c r="G163">
        <v>28</v>
      </c>
      <c r="H163">
        <f t="shared" si="15"/>
        <v>87</v>
      </c>
      <c r="J163">
        <v>87</v>
      </c>
      <c r="L163">
        <v>87</v>
      </c>
      <c r="O163">
        <f>Tabla5[[#This Row],[Taladros Simples]]+Tabla5[[#This Row],[Taladros Dobles]]+Tabla5[[#This Row],[Taladros Triples]]</f>
        <v>87</v>
      </c>
      <c r="Q163" s="17">
        <v>0</v>
      </c>
      <c r="S163" s="17">
        <v>209</v>
      </c>
      <c r="V163">
        <v>0</v>
      </c>
      <c r="X163">
        <v>200</v>
      </c>
      <c r="AF163" t="e">
        <f>-#REF!</f>
        <v>#REF!</v>
      </c>
      <c r="AP163" t="str">
        <f t="shared" ref="AP163:AP168" si="16">CONCATENATE(F163,"-","Vol"," ",G163)</f>
        <v>Galeria 01 - CI-Vol 28</v>
      </c>
    </row>
    <row r="164" spans="1:42" ht="15" customHeight="1" x14ac:dyDescent="0.3">
      <c r="A164" s="30">
        <v>108</v>
      </c>
      <c r="B164" s="12" t="s">
        <v>144</v>
      </c>
      <c r="C164">
        <v>2024</v>
      </c>
      <c r="D164" t="s">
        <v>211</v>
      </c>
      <c r="E164" s="16">
        <v>45458</v>
      </c>
      <c r="F164" t="s">
        <v>184</v>
      </c>
      <c r="G164">
        <v>108</v>
      </c>
      <c r="H164">
        <f t="shared" si="15"/>
        <v>176</v>
      </c>
      <c r="I164">
        <v>0</v>
      </c>
      <c r="J164">
        <v>176</v>
      </c>
      <c r="L164">
        <v>176</v>
      </c>
      <c r="O164">
        <f>Tabla5[[#This Row],[Taladros Simples]]+Tabla5[[#This Row],[Taladros Dobles]]+Tabla5[[#This Row],[Taladros Triples]]</f>
        <v>176</v>
      </c>
      <c r="Q164" s="17">
        <v>52.5</v>
      </c>
      <c r="S164" s="17">
        <v>866.5</v>
      </c>
      <c r="V164">
        <v>120</v>
      </c>
      <c r="X164">
        <v>200</v>
      </c>
      <c r="AF164" t="e">
        <f>-#REF!</f>
        <v>#REF!</v>
      </c>
      <c r="AP164" t="str">
        <f t="shared" si="16"/>
        <v>Túnel completo-Vol 108</v>
      </c>
    </row>
    <row r="165" spans="1:42" ht="15" customHeight="1" x14ac:dyDescent="0.3">
      <c r="A165" s="30">
        <v>29</v>
      </c>
      <c r="B165" s="12" t="s">
        <v>199</v>
      </c>
      <c r="C165">
        <v>2024</v>
      </c>
      <c r="D165" t="s">
        <v>211</v>
      </c>
      <c r="E165" s="16">
        <v>45458</v>
      </c>
      <c r="F165" t="s">
        <v>220</v>
      </c>
      <c r="G165">
        <v>29</v>
      </c>
      <c r="H165">
        <f t="shared" si="15"/>
        <v>144</v>
      </c>
      <c r="I165">
        <v>0</v>
      </c>
      <c r="J165">
        <v>144</v>
      </c>
      <c r="L165">
        <v>144</v>
      </c>
      <c r="O165">
        <f>Tabla5[[#This Row],[Taladros Simples]]+Tabla5[[#This Row],[Taladros Dobles]]+Tabla5[[#This Row],[Taladros Triples]]</f>
        <v>144</v>
      </c>
      <c r="Q165" s="17">
        <v>44</v>
      </c>
      <c r="S165" s="17">
        <v>211</v>
      </c>
      <c r="V165">
        <v>0</v>
      </c>
      <c r="X165">
        <v>200</v>
      </c>
      <c r="AF165" t="e">
        <f>-#REF!</f>
        <v>#REF!</v>
      </c>
      <c r="AP165" t="str">
        <f t="shared" si="16"/>
        <v>Galeria 01 y Galería 02- CI -Vol 29</v>
      </c>
    </row>
    <row r="166" spans="1:42" ht="15" customHeight="1" x14ac:dyDescent="0.3">
      <c r="A166" s="30">
        <v>109</v>
      </c>
      <c r="B166" s="12" t="s">
        <v>144</v>
      </c>
      <c r="C166">
        <v>2024</v>
      </c>
      <c r="D166" t="s">
        <v>211</v>
      </c>
      <c r="E166" s="16">
        <v>45459</v>
      </c>
      <c r="F166" t="s">
        <v>184</v>
      </c>
      <c r="G166">
        <v>109</v>
      </c>
      <c r="H166">
        <f t="shared" si="15"/>
        <v>176</v>
      </c>
      <c r="I166">
        <v>0</v>
      </c>
      <c r="J166">
        <v>176</v>
      </c>
      <c r="L166">
        <v>176</v>
      </c>
      <c r="O166">
        <f>Tabla5[[#This Row],[Taladros Simples]]+Tabla5[[#This Row],[Taladros Dobles]]+Tabla5[[#This Row],[Taladros Triples]]</f>
        <v>176</v>
      </c>
      <c r="Q166" s="17">
        <v>55</v>
      </c>
      <c r="S166" s="17">
        <v>854.5</v>
      </c>
      <c r="V166">
        <v>109</v>
      </c>
      <c r="X166">
        <v>200</v>
      </c>
      <c r="AF166" t="e">
        <f>-#REF!</f>
        <v>#REF!</v>
      </c>
      <c r="AP166" t="str">
        <f t="shared" si="16"/>
        <v>Túnel completo-Vol 109</v>
      </c>
    </row>
    <row r="167" spans="1:42" ht="15" customHeight="1" x14ac:dyDescent="0.3">
      <c r="A167" s="30">
        <v>30</v>
      </c>
      <c r="B167" s="12" t="s">
        <v>199</v>
      </c>
      <c r="C167">
        <v>2024</v>
      </c>
      <c r="D167" t="s">
        <v>211</v>
      </c>
      <c r="E167" s="16">
        <v>45459</v>
      </c>
      <c r="F167" t="s">
        <v>220</v>
      </c>
      <c r="G167">
        <v>30</v>
      </c>
      <c r="H167">
        <f t="shared" si="15"/>
        <v>152</v>
      </c>
      <c r="I167">
        <v>0</v>
      </c>
      <c r="J167">
        <v>152</v>
      </c>
      <c r="L167">
        <v>152</v>
      </c>
      <c r="O167">
        <f>Tabla5[[#This Row],[Taladros Simples]]+Tabla5[[#This Row],[Taladros Dobles]]+Tabla5[[#This Row],[Taladros Triples]]</f>
        <v>152</v>
      </c>
      <c r="Q167" s="17">
        <v>50</v>
      </c>
      <c r="S167" s="17">
        <v>323</v>
      </c>
      <c r="V167">
        <v>40</v>
      </c>
      <c r="W167">
        <v>200</v>
      </c>
      <c r="AF167" t="e">
        <f>-#REF!</f>
        <v>#REF!</v>
      </c>
      <c r="AP167" t="str">
        <f t="shared" si="16"/>
        <v>Galeria 01 y Galería 02- CI -Vol 30</v>
      </c>
    </row>
    <row r="168" spans="1:42" ht="15" customHeight="1" x14ac:dyDescent="0.3">
      <c r="A168" s="30">
        <v>110</v>
      </c>
      <c r="B168" s="12" t="s">
        <v>144</v>
      </c>
      <c r="C168">
        <v>2024</v>
      </c>
      <c r="D168" t="s">
        <v>211</v>
      </c>
      <c r="E168" s="16">
        <v>45459</v>
      </c>
      <c r="F168" t="s">
        <v>184</v>
      </c>
      <c r="G168">
        <v>110</v>
      </c>
      <c r="H168">
        <f t="shared" si="15"/>
        <v>182</v>
      </c>
      <c r="I168">
        <v>0</v>
      </c>
      <c r="J168">
        <v>182</v>
      </c>
      <c r="L168">
        <v>182</v>
      </c>
      <c r="O168">
        <f>Tabla5[[#This Row],[Taladros Simples]]+Tabla5[[#This Row],[Taladros Dobles]]+Tabla5[[#This Row],[Taladros Triples]]</f>
        <v>182</v>
      </c>
      <c r="Q168" s="17">
        <v>44</v>
      </c>
      <c r="S168" s="17">
        <v>890</v>
      </c>
      <c r="V168">
        <v>92</v>
      </c>
      <c r="X168">
        <v>200</v>
      </c>
      <c r="AF168" t="e">
        <f>-#REF!</f>
        <v>#REF!</v>
      </c>
      <c r="AP168" t="str">
        <f t="shared" si="16"/>
        <v>Túnel completo-Vol 110</v>
      </c>
    </row>
    <row r="169" spans="1:42" ht="15" customHeight="1" x14ac:dyDescent="0.3">
      <c r="A169" s="30">
        <v>111</v>
      </c>
      <c r="B169" s="12" t="s">
        <v>144</v>
      </c>
      <c r="C169">
        <v>2024</v>
      </c>
      <c r="D169" t="s">
        <v>211</v>
      </c>
      <c r="E169" s="16">
        <v>45460</v>
      </c>
      <c r="F169" t="s">
        <v>184</v>
      </c>
      <c r="G169">
        <v>111</v>
      </c>
      <c r="H169">
        <f t="shared" si="15"/>
        <v>171</v>
      </c>
      <c r="I169">
        <v>0</v>
      </c>
      <c r="J169">
        <v>171</v>
      </c>
      <c r="L169">
        <v>171</v>
      </c>
      <c r="O169">
        <f>Tabla5[[#This Row],[Taladros Simples]]+Tabla5[[#This Row],[Taladros Dobles]]+Tabla5[[#This Row],[Taladros Triples]]</f>
        <v>171</v>
      </c>
      <c r="Q169" s="17">
        <v>49.5</v>
      </c>
      <c r="S169" s="17">
        <v>876.5</v>
      </c>
      <c r="V169">
        <v>110</v>
      </c>
      <c r="X169">
        <v>200</v>
      </c>
      <c r="AF169" t="e">
        <f>-#REF!</f>
        <v>#REF!</v>
      </c>
      <c r="AP169" t="str">
        <f t="shared" ref="AP169:AP174" si="17">CONCATENATE(F169,"-","Vol"," ",G169)</f>
        <v>Túnel completo-Vol 111</v>
      </c>
    </row>
    <row r="170" spans="1:42" ht="15" customHeight="1" x14ac:dyDescent="0.3">
      <c r="A170" s="30">
        <v>31</v>
      </c>
      <c r="B170" s="12" t="s">
        <v>199</v>
      </c>
      <c r="C170">
        <v>2024</v>
      </c>
      <c r="D170" t="s">
        <v>211</v>
      </c>
      <c r="E170" s="16">
        <v>45460</v>
      </c>
      <c r="F170" t="s">
        <v>213</v>
      </c>
      <c r="G170">
        <v>109</v>
      </c>
      <c r="H170">
        <f t="shared" si="15"/>
        <v>109</v>
      </c>
      <c r="I170">
        <v>0</v>
      </c>
      <c r="J170">
        <v>109</v>
      </c>
      <c r="L170">
        <v>109</v>
      </c>
      <c r="O170">
        <f>Tabla5[[#This Row],[Taladros Simples]]+Tabla5[[#This Row],[Taladros Dobles]]+Tabla5[[#This Row],[Taladros Triples]]</f>
        <v>109</v>
      </c>
      <c r="Q170" s="17">
        <v>50</v>
      </c>
      <c r="S170" s="17">
        <v>368</v>
      </c>
      <c r="V170">
        <v>40</v>
      </c>
      <c r="X170">
        <v>200</v>
      </c>
      <c r="AF170" t="e">
        <f>-#REF!</f>
        <v>#REF!</v>
      </c>
      <c r="AP170" t="str">
        <f t="shared" si="17"/>
        <v>Galeria 01 - CI-Vol 109</v>
      </c>
    </row>
    <row r="171" spans="1:42" ht="15" customHeight="1" x14ac:dyDescent="0.3">
      <c r="A171" s="30">
        <v>112</v>
      </c>
      <c r="B171" s="12" t="s">
        <v>144</v>
      </c>
      <c r="C171">
        <v>2024</v>
      </c>
      <c r="D171" t="s">
        <v>211</v>
      </c>
      <c r="E171" s="16">
        <v>45460</v>
      </c>
      <c r="F171" t="s">
        <v>184</v>
      </c>
      <c r="G171">
        <v>112</v>
      </c>
      <c r="H171">
        <f t="shared" si="15"/>
        <v>143</v>
      </c>
      <c r="I171">
        <v>0</v>
      </c>
      <c r="J171">
        <v>143</v>
      </c>
      <c r="L171">
        <v>143</v>
      </c>
      <c r="O171">
        <f>Tabla5[[#This Row],[Taladros Simples]]+Tabla5[[#This Row],[Taladros Dobles]]+Tabla5[[#This Row],[Taladros Triples]]</f>
        <v>143</v>
      </c>
      <c r="Q171" s="17">
        <v>13.5</v>
      </c>
      <c r="S171" s="17">
        <v>376.5</v>
      </c>
      <c r="V171">
        <v>80</v>
      </c>
      <c r="X171">
        <v>200</v>
      </c>
      <c r="AF171" t="e">
        <f>-#REF!</f>
        <v>#REF!</v>
      </c>
      <c r="AP171" t="str">
        <f t="shared" si="17"/>
        <v>Túnel completo-Vol 112</v>
      </c>
    </row>
    <row r="172" spans="1:42" ht="15" customHeight="1" x14ac:dyDescent="0.3">
      <c r="A172" s="30">
        <v>113</v>
      </c>
      <c r="B172" s="12" t="s">
        <v>144</v>
      </c>
      <c r="C172">
        <v>2024</v>
      </c>
      <c r="D172" t="s">
        <v>211</v>
      </c>
      <c r="E172" s="16">
        <v>45461</v>
      </c>
      <c r="F172" t="s">
        <v>184</v>
      </c>
      <c r="G172">
        <v>113</v>
      </c>
      <c r="H172">
        <f t="shared" si="15"/>
        <v>155</v>
      </c>
      <c r="I172">
        <v>0</v>
      </c>
      <c r="J172">
        <v>155</v>
      </c>
      <c r="L172">
        <v>155</v>
      </c>
      <c r="O172">
        <f>Tabla5[[#This Row],[Taladros Simples]]+Tabla5[[#This Row],[Taladros Dobles]]+Tabla5[[#This Row],[Taladros Triples]]</f>
        <v>155</v>
      </c>
      <c r="Q172" s="17">
        <v>120</v>
      </c>
      <c r="S172" s="17">
        <v>441</v>
      </c>
      <c r="V172">
        <v>50</v>
      </c>
      <c r="X172">
        <v>200</v>
      </c>
      <c r="AF172" t="e">
        <f>-#REF!</f>
        <v>#REF!</v>
      </c>
      <c r="AP172" t="str">
        <f t="shared" si="17"/>
        <v>Túnel completo-Vol 113</v>
      </c>
    </row>
    <row r="173" spans="1:42" ht="15" customHeight="1" x14ac:dyDescent="0.3">
      <c r="A173" s="30">
        <v>32</v>
      </c>
      <c r="B173" s="12" t="s">
        <v>199</v>
      </c>
      <c r="C173">
        <v>2024</v>
      </c>
      <c r="D173" t="s">
        <v>211</v>
      </c>
      <c r="E173" s="16">
        <v>45461</v>
      </c>
      <c r="F173" t="s">
        <v>213</v>
      </c>
      <c r="G173">
        <v>115</v>
      </c>
      <c r="H173">
        <f t="shared" si="15"/>
        <v>115</v>
      </c>
      <c r="I173">
        <v>0</v>
      </c>
      <c r="J173">
        <v>115</v>
      </c>
      <c r="L173">
        <v>115</v>
      </c>
      <c r="O173">
        <f>Tabla5[[#This Row],[Taladros Simples]]+Tabla5[[#This Row],[Taladros Dobles]]+Tabla5[[#This Row],[Taladros Triples]]</f>
        <v>115</v>
      </c>
      <c r="Q173" s="17">
        <v>0</v>
      </c>
      <c r="S173" s="17">
        <v>92.82</v>
      </c>
      <c r="V173">
        <v>40</v>
      </c>
      <c r="X173">
        <v>200</v>
      </c>
      <c r="AF173" t="e">
        <f>-#REF!</f>
        <v>#REF!</v>
      </c>
      <c r="AP173" t="str">
        <f t="shared" si="17"/>
        <v>Galeria 01 - CI-Vol 115</v>
      </c>
    </row>
    <row r="174" spans="1:42" ht="15" customHeight="1" x14ac:dyDescent="0.3">
      <c r="A174" s="30">
        <v>33</v>
      </c>
      <c r="B174" s="12" t="s">
        <v>199</v>
      </c>
      <c r="C174">
        <v>2024</v>
      </c>
      <c r="D174" t="s">
        <v>211</v>
      </c>
      <c r="E174" s="16">
        <v>45461</v>
      </c>
      <c r="F174" t="s">
        <v>213</v>
      </c>
      <c r="G174">
        <v>108</v>
      </c>
      <c r="H174">
        <f t="shared" si="15"/>
        <v>108</v>
      </c>
      <c r="I174">
        <v>0</v>
      </c>
      <c r="J174">
        <v>108</v>
      </c>
      <c r="L174">
        <v>108</v>
      </c>
      <c r="O174">
        <f>Tabla5[[#This Row],[Taladros Simples]]+Tabla5[[#This Row],[Taladros Dobles]]+Tabla5[[#This Row],[Taladros Triples]]</f>
        <v>108</v>
      </c>
      <c r="Q174" s="17">
        <v>0</v>
      </c>
      <c r="S174" s="17">
        <v>92.82</v>
      </c>
      <c r="V174">
        <v>40</v>
      </c>
      <c r="X174">
        <v>200</v>
      </c>
      <c r="AF174" t="e">
        <f>-#REF!</f>
        <v>#REF!</v>
      </c>
      <c r="AP174" t="str">
        <f t="shared" si="17"/>
        <v>Galeria 01 - CI-Vol 108</v>
      </c>
    </row>
    <row r="175" spans="1:42" ht="15" customHeight="1" x14ac:dyDescent="0.3">
      <c r="A175" s="30">
        <v>114</v>
      </c>
      <c r="B175" s="12" t="s">
        <v>144</v>
      </c>
      <c r="C175">
        <v>2024</v>
      </c>
      <c r="D175" t="s">
        <v>211</v>
      </c>
      <c r="E175" s="16">
        <v>45461</v>
      </c>
      <c r="F175" t="s">
        <v>184</v>
      </c>
      <c r="G175">
        <v>114</v>
      </c>
      <c r="H175">
        <f t="shared" si="15"/>
        <v>149</v>
      </c>
      <c r="I175">
        <v>0</v>
      </c>
      <c r="J175">
        <v>149</v>
      </c>
      <c r="L175">
        <v>149</v>
      </c>
      <c r="O175">
        <f>Tabla5[[#This Row],[Taladros Simples]]+Tabla5[[#This Row],[Taladros Dobles]]+Tabla5[[#This Row],[Taladros Triples]]</f>
        <v>149</v>
      </c>
      <c r="Q175" s="17">
        <v>88.5</v>
      </c>
      <c r="S175" s="17">
        <v>188</v>
      </c>
      <c r="V175">
        <v>0</v>
      </c>
      <c r="X175">
        <v>200</v>
      </c>
      <c r="AF175" t="e">
        <f>-#REF!</f>
        <v>#REF!</v>
      </c>
      <c r="AP175" t="str">
        <f t="shared" ref="AP175:AP180" si="18">CONCATENATE(F175,"-","Vol"," ",G175)</f>
        <v>Túnel completo-Vol 114</v>
      </c>
    </row>
    <row r="176" spans="1:42" ht="15" customHeight="1" x14ac:dyDescent="0.3">
      <c r="A176" s="30">
        <v>115</v>
      </c>
      <c r="B176" s="12" t="s">
        <v>144</v>
      </c>
      <c r="C176">
        <v>2024</v>
      </c>
      <c r="D176" t="s">
        <v>211</v>
      </c>
      <c r="E176" s="16">
        <v>45462</v>
      </c>
      <c r="F176" t="s">
        <v>184</v>
      </c>
      <c r="G176">
        <v>115</v>
      </c>
      <c r="H176">
        <f t="shared" si="15"/>
        <v>74</v>
      </c>
      <c r="I176">
        <v>0</v>
      </c>
      <c r="J176">
        <v>74</v>
      </c>
      <c r="L176">
        <v>74</v>
      </c>
      <c r="O176">
        <f>Tabla5[[#This Row],[Taladros Simples]]+Tabla5[[#This Row],[Taladros Dobles]]+Tabla5[[#This Row],[Taladros Triples]]</f>
        <v>74</v>
      </c>
      <c r="Q176" s="17">
        <v>10</v>
      </c>
      <c r="S176" s="17">
        <v>110</v>
      </c>
      <c r="V176">
        <v>0</v>
      </c>
      <c r="X176">
        <v>200</v>
      </c>
      <c r="AF176" t="e">
        <f>-#REF!</f>
        <v>#REF!</v>
      </c>
      <c r="AP176" t="str">
        <f t="shared" si="18"/>
        <v>Túnel completo-Vol 115</v>
      </c>
    </row>
    <row r="177" spans="1:42" ht="15" customHeight="1" x14ac:dyDescent="0.3">
      <c r="A177" s="30">
        <v>116</v>
      </c>
      <c r="B177" s="12" t="s">
        <v>144</v>
      </c>
      <c r="C177">
        <v>2024</v>
      </c>
      <c r="D177" t="s">
        <v>211</v>
      </c>
      <c r="E177" s="16">
        <v>45462</v>
      </c>
      <c r="F177" t="s">
        <v>184</v>
      </c>
      <c r="G177">
        <v>116</v>
      </c>
      <c r="H177">
        <f t="shared" si="15"/>
        <v>69</v>
      </c>
      <c r="I177">
        <v>0</v>
      </c>
      <c r="J177">
        <v>69</v>
      </c>
      <c r="L177">
        <v>69</v>
      </c>
      <c r="O177">
        <f>Tabla5[[#This Row],[Taladros Simples]]+Tabla5[[#This Row],[Taladros Dobles]]+Tabla5[[#This Row],[Taladros Triples]]</f>
        <v>69</v>
      </c>
      <c r="Q177" s="17">
        <v>23</v>
      </c>
      <c r="S177" s="17">
        <v>139</v>
      </c>
      <c r="V177">
        <v>0</v>
      </c>
      <c r="X177">
        <v>200</v>
      </c>
      <c r="AF177" t="e">
        <f>-#REF!</f>
        <v>#REF!</v>
      </c>
      <c r="AP177" t="str">
        <f t="shared" si="18"/>
        <v>Túnel completo-Vol 116</v>
      </c>
    </row>
    <row r="178" spans="1:42" ht="15" customHeight="1" x14ac:dyDescent="0.3">
      <c r="A178" s="30">
        <v>34</v>
      </c>
      <c r="B178" s="12" t="s">
        <v>199</v>
      </c>
      <c r="C178">
        <v>2024</v>
      </c>
      <c r="D178" t="s">
        <v>211</v>
      </c>
      <c r="E178" s="16">
        <v>45462</v>
      </c>
      <c r="F178" t="s">
        <v>213</v>
      </c>
      <c r="G178">
        <v>34</v>
      </c>
      <c r="H178">
        <f t="shared" si="15"/>
        <v>110</v>
      </c>
      <c r="I178">
        <v>0</v>
      </c>
      <c r="J178">
        <v>110</v>
      </c>
      <c r="L178">
        <v>110</v>
      </c>
      <c r="O178">
        <f>Tabla5[[#This Row],[Taladros Simples]]+Tabla5[[#This Row],[Taladros Dobles]]+Tabla5[[#This Row],[Taladros Triples]]</f>
        <v>110</v>
      </c>
      <c r="V178">
        <v>60</v>
      </c>
      <c r="X178">
        <v>200</v>
      </c>
      <c r="AF178" t="e">
        <f>-#REF!</f>
        <v>#REF!</v>
      </c>
      <c r="AP178" t="str">
        <f t="shared" si="18"/>
        <v>Galeria 01 - CI-Vol 34</v>
      </c>
    </row>
    <row r="179" spans="1:42" ht="15" customHeight="1" x14ac:dyDescent="0.3">
      <c r="A179" s="30">
        <v>117</v>
      </c>
      <c r="B179" s="12" t="s">
        <v>144</v>
      </c>
      <c r="C179">
        <v>2024</v>
      </c>
      <c r="D179" t="s">
        <v>211</v>
      </c>
      <c r="E179" s="16">
        <v>45463</v>
      </c>
      <c r="F179" t="s">
        <v>184</v>
      </c>
      <c r="G179">
        <v>117</v>
      </c>
      <c r="H179">
        <f t="shared" si="15"/>
        <v>31</v>
      </c>
      <c r="I179">
        <v>0</v>
      </c>
      <c r="J179">
        <v>31</v>
      </c>
      <c r="L179">
        <v>31</v>
      </c>
      <c r="O179">
        <f>Tabla5[[#This Row],[Taladros Simples]]+Tabla5[[#This Row],[Taladros Dobles]]+Tabla5[[#This Row],[Taladros Triples]]</f>
        <v>31</v>
      </c>
      <c r="Q179" s="17">
        <v>6.5</v>
      </c>
      <c r="S179" s="17">
        <v>50</v>
      </c>
      <c r="V179">
        <v>0</v>
      </c>
      <c r="X179">
        <v>200</v>
      </c>
      <c r="AF179" t="e">
        <f>-#REF!</f>
        <v>#REF!</v>
      </c>
      <c r="AP179" t="str">
        <f t="shared" si="18"/>
        <v>Túnel completo-Vol 117</v>
      </c>
    </row>
    <row r="180" spans="1:42" ht="15" customHeight="1" x14ac:dyDescent="0.3">
      <c r="A180" s="30">
        <v>35</v>
      </c>
      <c r="B180" s="12" t="s">
        <v>199</v>
      </c>
      <c r="C180">
        <v>2024</v>
      </c>
      <c r="D180" t="s">
        <v>211</v>
      </c>
      <c r="E180" s="16">
        <v>45463</v>
      </c>
      <c r="F180" t="s">
        <v>213</v>
      </c>
      <c r="G180">
        <v>104</v>
      </c>
      <c r="H180">
        <f t="shared" si="15"/>
        <v>104</v>
      </c>
      <c r="I180">
        <v>0</v>
      </c>
      <c r="J180">
        <v>104</v>
      </c>
      <c r="L180">
        <v>104</v>
      </c>
      <c r="O180">
        <f>Tabla5[[#This Row],[Taladros Simples]]+Tabla5[[#This Row],[Taladros Dobles]]+Tabla5[[#This Row],[Taladros Triples]]</f>
        <v>104</v>
      </c>
      <c r="Q180" s="17">
        <v>0</v>
      </c>
      <c r="S180" s="17">
        <v>92.82</v>
      </c>
      <c r="V180">
        <v>60</v>
      </c>
      <c r="X180">
        <v>200</v>
      </c>
      <c r="AF180" t="e">
        <f>-#REF!</f>
        <v>#REF!</v>
      </c>
      <c r="AP180" t="str">
        <f t="shared" si="18"/>
        <v>Galeria 01 - CI-Vol 104</v>
      </c>
    </row>
    <row r="181" spans="1:42" ht="15" customHeight="1" x14ac:dyDescent="0.3">
      <c r="A181" s="30">
        <v>118</v>
      </c>
      <c r="B181" s="12" t="s">
        <v>144</v>
      </c>
      <c r="C181">
        <v>2024</v>
      </c>
      <c r="D181" t="s">
        <v>211</v>
      </c>
      <c r="E181" s="16">
        <v>45463</v>
      </c>
      <c r="F181" t="s">
        <v>184</v>
      </c>
      <c r="G181">
        <v>118</v>
      </c>
      <c r="H181">
        <f t="shared" si="15"/>
        <v>98</v>
      </c>
      <c r="I181">
        <v>0</v>
      </c>
      <c r="J181">
        <v>98</v>
      </c>
      <c r="L181">
        <v>98</v>
      </c>
      <c r="O181">
        <f>Tabla5[[#This Row],[Taladros Simples]]+Tabla5[[#This Row],[Taladros Dobles]]+Tabla5[[#This Row],[Taladros Triples]]</f>
        <v>98</v>
      </c>
      <c r="Q181" s="17">
        <v>40</v>
      </c>
      <c r="S181" s="17">
        <v>139.5</v>
      </c>
      <c r="V181">
        <v>0</v>
      </c>
      <c r="X181">
        <v>200</v>
      </c>
      <c r="AF181" t="e">
        <f>-#REF!</f>
        <v>#REF!</v>
      </c>
      <c r="AP181" t="str">
        <f t="shared" ref="AP181:AP186" si="19">CONCATENATE(F181,"-","Vol"," ",G181)</f>
        <v>Túnel completo-Vol 118</v>
      </c>
    </row>
    <row r="182" spans="1:42" ht="15" customHeight="1" x14ac:dyDescent="0.3">
      <c r="A182" s="30">
        <v>119</v>
      </c>
      <c r="B182" s="12" t="s">
        <v>144</v>
      </c>
      <c r="C182">
        <v>2024</v>
      </c>
      <c r="D182" t="s">
        <v>211</v>
      </c>
      <c r="E182" s="16">
        <v>45464</v>
      </c>
      <c r="F182" t="s">
        <v>184</v>
      </c>
      <c r="G182">
        <v>119</v>
      </c>
      <c r="H182">
        <f t="shared" si="15"/>
        <v>149</v>
      </c>
      <c r="I182">
        <v>0</v>
      </c>
      <c r="J182">
        <v>149</v>
      </c>
      <c r="L182">
        <v>149</v>
      </c>
      <c r="O182">
        <f>Tabla5[[#This Row],[Taladros Simples]]+Tabla5[[#This Row],[Taladros Dobles]]+Tabla5[[#This Row],[Taladros Triples]]</f>
        <v>149</v>
      </c>
      <c r="Q182" s="17">
        <v>146</v>
      </c>
      <c r="S182" s="17">
        <v>247</v>
      </c>
      <c r="V182">
        <v>80</v>
      </c>
      <c r="X182">
        <v>200</v>
      </c>
      <c r="AF182" t="e">
        <f>-#REF!</f>
        <v>#REF!</v>
      </c>
      <c r="AP182" t="str">
        <f t="shared" si="19"/>
        <v>Túnel completo-Vol 119</v>
      </c>
    </row>
    <row r="183" spans="1:42" ht="15" customHeight="1" x14ac:dyDescent="0.3">
      <c r="A183" s="30">
        <v>36</v>
      </c>
      <c r="B183" s="12" t="s">
        <v>199</v>
      </c>
      <c r="C183">
        <v>2024</v>
      </c>
      <c r="D183" t="s">
        <v>211</v>
      </c>
      <c r="E183" s="16">
        <v>45463</v>
      </c>
      <c r="F183" t="s">
        <v>213</v>
      </c>
      <c r="G183">
        <v>109</v>
      </c>
      <c r="H183">
        <f t="shared" si="15"/>
        <v>109</v>
      </c>
      <c r="I183">
        <v>0</v>
      </c>
      <c r="J183">
        <v>109</v>
      </c>
      <c r="L183">
        <v>109</v>
      </c>
      <c r="O183">
        <f>Tabla5[[#This Row],[Taladros Simples]]+Tabla5[[#This Row],[Taladros Dobles]]+Tabla5[[#This Row],[Taladros Triples]]</f>
        <v>109</v>
      </c>
      <c r="S183" s="17">
        <v>98.67</v>
      </c>
      <c r="V183">
        <v>0</v>
      </c>
      <c r="X183">
        <v>200</v>
      </c>
      <c r="AF183" t="e">
        <f>-#REF!</f>
        <v>#REF!</v>
      </c>
      <c r="AP183" t="str">
        <f t="shared" si="19"/>
        <v>Galeria 01 - CI-Vol 109</v>
      </c>
    </row>
    <row r="184" spans="1:42" ht="15" customHeight="1" x14ac:dyDescent="0.3">
      <c r="A184" s="30">
        <v>37</v>
      </c>
      <c r="B184" s="12" t="s">
        <v>199</v>
      </c>
      <c r="C184">
        <v>2024</v>
      </c>
      <c r="D184" t="s">
        <v>211</v>
      </c>
      <c r="E184" s="16">
        <v>45464</v>
      </c>
      <c r="F184" t="s">
        <v>213</v>
      </c>
      <c r="G184">
        <v>113</v>
      </c>
      <c r="H184">
        <f t="shared" si="15"/>
        <v>113</v>
      </c>
      <c r="I184">
        <v>0</v>
      </c>
      <c r="J184">
        <v>113</v>
      </c>
      <c r="L184">
        <v>113</v>
      </c>
      <c r="O184">
        <f>Tabla5[[#This Row],[Taladros Simples]]+Tabla5[[#This Row],[Taladros Dobles]]+Tabla5[[#This Row],[Taladros Triples]]</f>
        <v>113</v>
      </c>
      <c r="S184" s="17">
        <v>98.13</v>
      </c>
      <c r="V184">
        <v>0</v>
      </c>
      <c r="X184">
        <v>200</v>
      </c>
      <c r="AF184" t="e">
        <f>-#REF!</f>
        <v>#REF!</v>
      </c>
      <c r="AP184" t="str">
        <f t="shared" si="19"/>
        <v>Galeria 01 - CI-Vol 113</v>
      </c>
    </row>
    <row r="185" spans="1:42" ht="15" customHeight="1" x14ac:dyDescent="0.3">
      <c r="A185" s="30">
        <v>38</v>
      </c>
      <c r="B185" s="12" t="s">
        <v>199</v>
      </c>
      <c r="C185">
        <v>2024</v>
      </c>
      <c r="D185" t="s">
        <v>211</v>
      </c>
      <c r="E185" s="16">
        <v>45464</v>
      </c>
      <c r="F185" t="s">
        <v>213</v>
      </c>
      <c r="G185">
        <v>38</v>
      </c>
      <c r="H185">
        <f t="shared" si="15"/>
        <v>40</v>
      </c>
      <c r="I185">
        <v>0</v>
      </c>
      <c r="J185">
        <v>40</v>
      </c>
      <c r="L185">
        <v>40</v>
      </c>
      <c r="O185">
        <f>Tabla5[[#This Row],[Taladros Simples]]+Tabla5[[#This Row],[Taladros Dobles]]+Tabla5[[#This Row],[Taladros Triples]]</f>
        <v>40</v>
      </c>
      <c r="S185" s="17">
        <v>22.07</v>
      </c>
      <c r="V185">
        <v>0</v>
      </c>
      <c r="X185">
        <v>200</v>
      </c>
      <c r="AF185" t="e">
        <f>-#REF!</f>
        <v>#REF!</v>
      </c>
      <c r="AP185" t="str">
        <f t="shared" si="19"/>
        <v>Galeria 01 - CI-Vol 38</v>
      </c>
    </row>
    <row r="186" spans="1:42" ht="15" customHeight="1" x14ac:dyDescent="0.3">
      <c r="A186" s="30">
        <v>39</v>
      </c>
      <c r="B186" s="12" t="s">
        <v>199</v>
      </c>
      <c r="C186">
        <v>2024</v>
      </c>
      <c r="D186" t="s">
        <v>211</v>
      </c>
      <c r="E186" s="16">
        <v>45465</v>
      </c>
      <c r="F186" t="s">
        <v>213</v>
      </c>
      <c r="G186">
        <v>39</v>
      </c>
      <c r="H186">
        <f t="shared" si="15"/>
        <v>110</v>
      </c>
      <c r="I186">
        <v>0</v>
      </c>
      <c r="J186">
        <v>110</v>
      </c>
      <c r="L186">
        <v>110</v>
      </c>
      <c r="O186">
        <f>Tabla5[[#This Row],[Taladros Simples]]+Tabla5[[#This Row],[Taladros Dobles]]+Tabla5[[#This Row],[Taladros Triples]]</f>
        <v>110</v>
      </c>
      <c r="S186" s="17">
        <v>94.01</v>
      </c>
      <c r="V186">
        <v>0</v>
      </c>
      <c r="X186">
        <v>200</v>
      </c>
      <c r="AF186" t="e">
        <f>-#REF!</f>
        <v>#REF!</v>
      </c>
      <c r="AP186" t="str">
        <f t="shared" si="19"/>
        <v>Galeria 01 - CI-Vol 39</v>
      </c>
    </row>
    <row r="187" spans="1:42" ht="15" customHeight="1" x14ac:dyDescent="0.3">
      <c r="A187" s="30">
        <v>120</v>
      </c>
      <c r="B187" s="12" t="s">
        <v>144</v>
      </c>
      <c r="C187">
        <v>2024</v>
      </c>
      <c r="D187" t="s">
        <v>211</v>
      </c>
      <c r="E187" s="16">
        <v>45464</v>
      </c>
      <c r="F187" t="s">
        <v>184</v>
      </c>
      <c r="G187">
        <v>120</v>
      </c>
      <c r="H187">
        <f t="shared" si="15"/>
        <v>165</v>
      </c>
      <c r="I187">
        <v>0</v>
      </c>
      <c r="J187">
        <v>165</v>
      </c>
      <c r="L187">
        <v>165</v>
      </c>
      <c r="O187">
        <f>Tabla5[[#This Row],[Taladros Simples]]+Tabla5[[#This Row],[Taladros Dobles]]+Tabla5[[#This Row],[Taladros Triples]]</f>
        <v>165</v>
      </c>
      <c r="Q187" s="17">
        <v>124.5</v>
      </c>
      <c r="S187" s="17">
        <v>435</v>
      </c>
      <c r="V187">
        <v>0</v>
      </c>
      <c r="X187">
        <v>200</v>
      </c>
      <c r="AF187" t="e">
        <f>-#REF!</f>
        <v>#REF!</v>
      </c>
      <c r="AP187" t="str">
        <f t="shared" ref="AP187:AP218" si="20">CONCATENATE(F187,"-","Vol"," ",G187)</f>
        <v>Túnel completo-Vol 120</v>
      </c>
    </row>
    <row r="188" spans="1:42" ht="15" customHeight="1" x14ac:dyDescent="0.3">
      <c r="A188" s="30">
        <v>121</v>
      </c>
      <c r="B188" s="12" t="s">
        <v>144</v>
      </c>
      <c r="C188">
        <v>2024</v>
      </c>
      <c r="D188" t="s">
        <v>211</v>
      </c>
      <c r="E188" s="16">
        <v>45465</v>
      </c>
      <c r="F188" t="s">
        <v>184</v>
      </c>
      <c r="G188">
        <v>121</v>
      </c>
      <c r="H188">
        <f t="shared" si="15"/>
        <v>150</v>
      </c>
      <c r="I188">
        <v>0</v>
      </c>
      <c r="J188">
        <v>150</v>
      </c>
      <c r="L188">
        <v>150</v>
      </c>
      <c r="O188">
        <f>Tabla5[[#This Row],[Taladros Simples]]+Tabla5[[#This Row],[Taladros Dobles]]+Tabla5[[#This Row],[Taladros Triples]]</f>
        <v>150</v>
      </c>
      <c r="Q188" s="17">
        <v>40</v>
      </c>
      <c r="S188" s="17">
        <v>471</v>
      </c>
      <c r="V188">
        <v>60</v>
      </c>
      <c r="X188">
        <v>200</v>
      </c>
      <c r="AF188" t="e">
        <f>-#REF!</f>
        <v>#REF!</v>
      </c>
      <c r="AP188" t="str">
        <f t="shared" si="20"/>
        <v>Túnel completo-Vol 121</v>
      </c>
    </row>
    <row r="189" spans="1:42" ht="15" customHeight="1" x14ac:dyDescent="0.3">
      <c r="A189" s="30">
        <v>40</v>
      </c>
      <c r="B189" s="12" t="s">
        <v>199</v>
      </c>
      <c r="C189">
        <v>2024</v>
      </c>
      <c r="D189" t="s">
        <v>211</v>
      </c>
      <c r="E189" s="16">
        <v>45465</v>
      </c>
      <c r="F189" t="s">
        <v>213</v>
      </c>
      <c r="G189">
        <v>40</v>
      </c>
      <c r="H189">
        <f t="shared" si="15"/>
        <v>111</v>
      </c>
      <c r="I189">
        <v>0</v>
      </c>
      <c r="J189">
        <v>111</v>
      </c>
      <c r="L189">
        <v>111</v>
      </c>
      <c r="O189">
        <f>Tabla5[[#This Row],[Taladros Simples]]+Tabla5[[#This Row],[Taladros Dobles]]+Tabla5[[#This Row],[Taladros Triples]]</f>
        <v>111</v>
      </c>
      <c r="S189" s="17">
        <v>101.3</v>
      </c>
      <c r="V189">
        <v>0</v>
      </c>
      <c r="X189">
        <v>200</v>
      </c>
      <c r="AF189" t="e">
        <f>-#REF!</f>
        <v>#REF!</v>
      </c>
      <c r="AP189" t="str">
        <f t="shared" si="20"/>
        <v>Galeria 01 - CI-Vol 40</v>
      </c>
    </row>
    <row r="190" spans="1:42" ht="15" customHeight="1" x14ac:dyDescent="0.3">
      <c r="A190" s="30">
        <v>122</v>
      </c>
      <c r="B190" s="12" t="s">
        <v>144</v>
      </c>
      <c r="C190">
        <v>2024</v>
      </c>
      <c r="D190" t="s">
        <v>211</v>
      </c>
      <c r="E190" s="16">
        <v>45465</v>
      </c>
      <c r="F190" t="s">
        <v>184</v>
      </c>
      <c r="G190">
        <v>122</v>
      </c>
      <c r="H190">
        <f t="shared" si="15"/>
        <v>167</v>
      </c>
      <c r="I190">
        <v>0</v>
      </c>
      <c r="J190">
        <v>167</v>
      </c>
      <c r="L190">
        <v>167</v>
      </c>
      <c r="O190">
        <f>Tabla5[[#This Row],[Taladros Simples]]+Tabla5[[#This Row],[Taladros Dobles]]+Tabla5[[#This Row],[Taladros Triples]]</f>
        <v>167</v>
      </c>
      <c r="Q190" s="17">
        <v>177</v>
      </c>
      <c r="S190" s="17">
        <v>444</v>
      </c>
      <c r="V190">
        <v>105</v>
      </c>
      <c r="X190">
        <v>200</v>
      </c>
      <c r="AF190" t="e">
        <f>-#REF!</f>
        <v>#REF!</v>
      </c>
      <c r="AP190" t="str">
        <f t="shared" si="20"/>
        <v>Túnel completo-Vol 122</v>
      </c>
    </row>
    <row r="191" spans="1:42" ht="15" customHeight="1" x14ac:dyDescent="0.3">
      <c r="A191" s="30">
        <v>123</v>
      </c>
      <c r="B191" s="12" t="s">
        <v>144</v>
      </c>
      <c r="C191">
        <v>2024</v>
      </c>
      <c r="D191" t="s">
        <v>211</v>
      </c>
      <c r="E191" s="16">
        <v>45466</v>
      </c>
      <c r="F191" t="s">
        <v>184</v>
      </c>
      <c r="G191">
        <v>123</v>
      </c>
      <c r="H191">
        <f t="shared" si="15"/>
        <v>153</v>
      </c>
      <c r="I191">
        <v>0</v>
      </c>
      <c r="J191">
        <v>153</v>
      </c>
      <c r="L191">
        <v>153</v>
      </c>
      <c r="O191">
        <f>Tabla5[[#This Row],[Taladros Simples]]+Tabla5[[#This Row],[Taladros Dobles]]+Tabla5[[#This Row],[Taladros Triples]]</f>
        <v>153</v>
      </c>
      <c r="Q191" s="17">
        <v>169.5</v>
      </c>
      <c r="S191" s="17">
        <v>639</v>
      </c>
      <c r="V191">
        <v>120</v>
      </c>
      <c r="X191">
        <v>200</v>
      </c>
      <c r="AF191" t="e">
        <f>-#REF!</f>
        <v>#REF!</v>
      </c>
      <c r="AP191" t="str">
        <f t="shared" si="20"/>
        <v>Túnel completo-Vol 123</v>
      </c>
    </row>
    <row r="192" spans="1:42" ht="15" customHeight="1" x14ac:dyDescent="0.3">
      <c r="A192" s="30">
        <v>41</v>
      </c>
      <c r="B192" s="12" t="s">
        <v>199</v>
      </c>
      <c r="C192">
        <v>2024</v>
      </c>
      <c r="D192" t="s">
        <v>211</v>
      </c>
      <c r="E192" s="16">
        <v>45466</v>
      </c>
      <c r="F192" t="s">
        <v>213</v>
      </c>
      <c r="G192">
        <v>41</v>
      </c>
      <c r="H192">
        <f t="shared" si="15"/>
        <v>99</v>
      </c>
      <c r="I192">
        <v>0</v>
      </c>
      <c r="J192">
        <v>99</v>
      </c>
      <c r="L192">
        <v>99</v>
      </c>
      <c r="O192">
        <f>Tabla5[[#This Row],[Taladros Simples]]+Tabla5[[#This Row],[Taladros Dobles]]+Tabla5[[#This Row],[Taladros Triples]]</f>
        <v>99</v>
      </c>
      <c r="S192" s="17">
        <v>89.63</v>
      </c>
      <c r="V192">
        <v>0</v>
      </c>
      <c r="X192">
        <v>200</v>
      </c>
      <c r="AF192" t="e">
        <f>-#REF!</f>
        <v>#REF!</v>
      </c>
      <c r="AP192" t="str">
        <f t="shared" si="20"/>
        <v>Galeria 01 - CI-Vol 41</v>
      </c>
    </row>
    <row r="193" spans="1:42" s="48" customFormat="1" ht="15" customHeight="1" x14ac:dyDescent="0.3">
      <c r="A193" s="46">
        <v>124</v>
      </c>
      <c r="B193" s="49" t="s">
        <v>144</v>
      </c>
      <c r="C193" s="48">
        <v>2024</v>
      </c>
      <c r="D193" s="48" t="s">
        <v>211</v>
      </c>
      <c r="E193" s="47">
        <v>45466</v>
      </c>
      <c r="F193" s="48" t="s">
        <v>221</v>
      </c>
      <c r="G193" s="48">
        <v>124</v>
      </c>
      <c r="H193" s="48">
        <f t="shared" si="15"/>
        <v>162</v>
      </c>
      <c r="I193" s="48">
        <v>0</v>
      </c>
      <c r="J193" s="48">
        <v>162</v>
      </c>
      <c r="L193" s="48">
        <v>144</v>
      </c>
      <c r="O193" s="48">
        <v>162</v>
      </c>
      <c r="Q193" s="50">
        <v>90.5</v>
      </c>
      <c r="R193" s="50"/>
      <c r="S193" s="50">
        <v>424.5</v>
      </c>
      <c r="V193" s="48">
        <v>86</v>
      </c>
      <c r="X193" s="48">
        <v>400</v>
      </c>
      <c r="AF193" s="48" t="e">
        <f>-#REF!</f>
        <v>#REF!</v>
      </c>
      <c r="AP193" s="48" t="str">
        <f t="shared" si="20"/>
        <v>Túnel completo + banco-Vol 124</v>
      </c>
    </row>
    <row r="194" spans="1:42" ht="15" customHeight="1" x14ac:dyDescent="0.3">
      <c r="A194" s="30">
        <v>42</v>
      </c>
      <c r="B194" s="12" t="s">
        <v>199</v>
      </c>
      <c r="C194">
        <v>2024</v>
      </c>
      <c r="D194" t="s">
        <v>211</v>
      </c>
      <c r="E194" s="16">
        <v>45466</v>
      </c>
      <c r="F194" t="s">
        <v>213</v>
      </c>
      <c r="G194">
        <v>42</v>
      </c>
      <c r="H194">
        <f t="shared" si="15"/>
        <v>127</v>
      </c>
      <c r="I194">
        <v>0</v>
      </c>
      <c r="J194">
        <v>127</v>
      </c>
      <c r="L194">
        <v>127</v>
      </c>
      <c r="O194">
        <f>Tabla5[[#This Row],[Taladros Simples]]+Tabla5[[#This Row],[Taladros Dobles]]+Tabla5[[#This Row],[Taladros Triples]]</f>
        <v>127</v>
      </c>
      <c r="S194" s="17">
        <v>94.68</v>
      </c>
      <c r="V194">
        <v>0</v>
      </c>
      <c r="X194">
        <v>200</v>
      </c>
      <c r="AF194" t="e">
        <f>-#REF!</f>
        <v>#REF!</v>
      </c>
      <c r="AP194" t="str">
        <f t="shared" si="20"/>
        <v>Galeria 01 - CI-Vol 42</v>
      </c>
    </row>
    <row r="195" spans="1:42" ht="15" customHeight="1" x14ac:dyDescent="0.3">
      <c r="A195" s="30">
        <v>125</v>
      </c>
      <c r="B195" s="12" t="s">
        <v>144</v>
      </c>
      <c r="C195">
        <v>2024</v>
      </c>
      <c r="D195" t="s">
        <v>211</v>
      </c>
      <c r="E195" s="16">
        <v>45467</v>
      </c>
      <c r="F195" t="s">
        <v>184</v>
      </c>
      <c r="G195">
        <v>125</v>
      </c>
      <c r="H195">
        <f t="shared" si="15"/>
        <v>160</v>
      </c>
      <c r="I195">
        <v>0</v>
      </c>
      <c r="J195">
        <v>160</v>
      </c>
      <c r="L195">
        <v>160</v>
      </c>
      <c r="O195">
        <v>160</v>
      </c>
      <c r="Q195" s="17">
        <v>119</v>
      </c>
      <c r="S195" s="17" t="s">
        <v>222</v>
      </c>
      <c r="V195">
        <v>80</v>
      </c>
      <c r="X195">
        <v>200</v>
      </c>
      <c r="AF195" t="e">
        <f>-#REF!</f>
        <v>#REF!</v>
      </c>
      <c r="AP195" t="str">
        <f t="shared" si="20"/>
        <v>Túnel completo-Vol 125</v>
      </c>
    </row>
    <row r="196" spans="1:42" ht="15" customHeight="1" x14ac:dyDescent="0.3">
      <c r="A196" s="30">
        <v>43</v>
      </c>
      <c r="B196" s="12" t="s">
        <v>199</v>
      </c>
      <c r="C196">
        <v>2024</v>
      </c>
      <c r="D196" t="s">
        <v>211</v>
      </c>
      <c r="E196" s="16">
        <v>45467</v>
      </c>
      <c r="F196" t="s">
        <v>213</v>
      </c>
      <c r="G196">
        <v>43</v>
      </c>
      <c r="H196">
        <f t="shared" si="15"/>
        <v>103</v>
      </c>
      <c r="I196">
        <v>0</v>
      </c>
      <c r="J196">
        <v>103</v>
      </c>
      <c r="L196">
        <v>103</v>
      </c>
      <c r="O196">
        <v>103</v>
      </c>
      <c r="S196" s="17">
        <v>90.7</v>
      </c>
      <c r="V196">
        <v>30</v>
      </c>
      <c r="X196">
        <v>200</v>
      </c>
      <c r="AF196" t="e">
        <f>-#REF!</f>
        <v>#REF!</v>
      </c>
      <c r="AP196" t="str">
        <f t="shared" si="20"/>
        <v>Galeria 01 - CI-Vol 43</v>
      </c>
    </row>
    <row r="197" spans="1:42" ht="15" customHeight="1" x14ac:dyDescent="0.3">
      <c r="A197" s="30" t="s">
        <v>163</v>
      </c>
      <c r="B197" s="12" t="s">
        <v>199</v>
      </c>
      <c r="C197">
        <v>2024</v>
      </c>
      <c r="D197" t="s">
        <v>211</v>
      </c>
      <c r="E197" s="16">
        <v>45467</v>
      </c>
      <c r="F197" t="s">
        <v>213</v>
      </c>
      <c r="G197" t="str">
        <f>+Tabla5[[#This Row],[N°¨Vold.]]</f>
        <v>SECU.</v>
      </c>
      <c r="H197">
        <f t="shared" si="15"/>
        <v>19</v>
      </c>
      <c r="I197">
        <v>0</v>
      </c>
      <c r="J197">
        <v>19</v>
      </c>
      <c r="L197">
        <v>19</v>
      </c>
      <c r="O197">
        <f>Tabla5[[#This Row],[Taladros Simples]]+Tabla5[[#This Row],[Taladros Dobles]]+Tabla5[[#This Row],[Taladros Triples]]</f>
        <v>19</v>
      </c>
      <c r="Q197" s="17" t="s">
        <v>223</v>
      </c>
      <c r="S197" s="17">
        <v>13.3</v>
      </c>
      <c r="V197">
        <v>0</v>
      </c>
      <c r="X197">
        <v>200</v>
      </c>
      <c r="AF197" t="e">
        <f>-#REF!</f>
        <v>#REF!</v>
      </c>
      <c r="AP197" t="str">
        <f t="shared" si="20"/>
        <v>Galeria 01 - CI-Vol SECU.</v>
      </c>
    </row>
    <row r="198" spans="1:42" ht="15" customHeight="1" x14ac:dyDescent="0.3">
      <c r="A198" s="30">
        <v>126</v>
      </c>
      <c r="B198" s="12" t="s">
        <v>144</v>
      </c>
      <c r="C198">
        <v>2024</v>
      </c>
      <c r="D198" t="s">
        <v>211</v>
      </c>
      <c r="E198" s="16">
        <v>45467</v>
      </c>
      <c r="F198" t="s">
        <v>184</v>
      </c>
      <c r="G198">
        <v>126</v>
      </c>
      <c r="H198">
        <f t="shared" si="15"/>
        <v>155</v>
      </c>
      <c r="I198">
        <v>0</v>
      </c>
      <c r="J198">
        <v>155</v>
      </c>
      <c r="L198">
        <v>155</v>
      </c>
      <c r="O198">
        <v>155</v>
      </c>
      <c r="Q198" s="17">
        <v>84</v>
      </c>
      <c r="S198" s="17" t="s">
        <v>224</v>
      </c>
      <c r="V198">
        <v>0</v>
      </c>
      <c r="X198">
        <v>200</v>
      </c>
      <c r="AF198" t="e">
        <f>-#REF!</f>
        <v>#REF!</v>
      </c>
      <c r="AP198" t="str">
        <f t="shared" si="20"/>
        <v>Túnel completo-Vol 126</v>
      </c>
    </row>
    <row r="199" spans="1:42" ht="15" customHeight="1" x14ac:dyDescent="0.3">
      <c r="A199" s="30">
        <v>44</v>
      </c>
      <c r="B199" s="12" t="s">
        <v>199</v>
      </c>
      <c r="C199">
        <v>2024</v>
      </c>
      <c r="D199" t="s">
        <v>211</v>
      </c>
      <c r="E199" s="16">
        <v>45468</v>
      </c>
      <c r="F199" t="s">
        <v>213</v>
      </c>
      <c r="G199">
        <v>44</v>
      </c>
      <c r="H199">
        <f t="shared" si="15"/>
        <v>106</v>
      </c>
      <c r="I199">
        <v>0</v>
      </c>
      <c r="J199">
        <v>106</v>
      </c>
      <c r="L199">
        <v>106</v>
      </c>
      <c r="O199">
        <f>Tabla5[[#This Row],[Taladros Simples]]+Tabla5[[#This Row],[Taladros Dobles]]+Tabla5[[#This Row],[Taladros Triples]]</f>
        <v>106</v>
      </c>
      <c r="S199" s="17">
        <v>69.150000000000006</v>
      </c>
      <c r="V199">
        <v>40</v>
      </c>
      <c r="X199">
        <v>200</v>
      </c>
      <c r="AF199" t="e">
        <f>-#REF!</f>
        <v>#REF!</v>
      </c>
      <c r="AP199" t="str">
        <f t="shared" si="20"/>
        <v>Galeria 01 - CI-Vol 44</v>
      </c>
    </row>
    <row r="200" spans="1:42" ht="15" customHeight="1" x14ac:dyDescent="0.3">
      <c r="A200" s="30">
        <v>45</v>
      </c>
      <c r="B200" s="12" t="s">
        <v>199</v>
      </c>
      <c r="C200">
        <v>2024</v>
      </c>
      <c r="D200" t="s">
        <v>211</v>
      </c>
      <c r="E200" s="16">
        <v>45468</v>
      </c>
      <c r="F200" t="s">
        <v>213</v>
      </c>
      <c r="G200">
        <v>45</v>
      </c>
      <c r="H200">
        <f t="shared" si="15"/>
        <v>119</v>
      </c>
      <c r="I200">
        <v>0</v>
      </c>
      <c r="J200">
        <v>119</v>
      </c>
      <c r="L200">
        <v>119</v>
      </c>
      <c r="O200">
        <f>Tabla5[[#This Row],[Taladros Simples]]+Tabla5[[#This Row],[Taladros Dobles]]+Tabla5[[#This Row],[Taladros Triples]]</f>
        <v>119</v>
      </c>
      <c r="X200">
        <v>200</v>
      </c>
      <c r="AF200" t="e">
        <f>-#REF!</f>
        <v>#REF!</v>
      </c>
      <c r="AP200" t="str">
        <f t="shared" si="20"/>
        <v>Galeria 01 - CI-Vol 45</v>
      </c>
    </row>
    <row r="201" spans="1:42" ht="15" customHeight="1" x14ac:dyDescent="0.3">
      <c r="A201" s="30">
        <v>127</v>
      </c>
      <c r="B201" s="12" t="s">
        <v>144</v>
      </c>
      <c r="C201">
        <v>2024</v>
      </c>
      <c r="D201" t="s">
        <v>211</v>
      </c>
      <c r="E201" s="16">
        <v>45468</v>
      </c>
      <c r="F201" t="s">
        <v>184</v>
      </c>
      <c r="G201">
        <v>136</v>
      </c>
      <c r="H201">
        <f t="shared" si="15"/>
        <v>136</v>
      </c>
      <c r="I201">
        <v>0</v>
      </c>
      <c r="J201">
        <v>136</v>
      </c>
      <c r="L201">
        <v>136</v>
      </c>
      <c r="O201">
        <v>136</v>
      </c>
      <c r="Q201" s="17">
        <v>91</v>
      </c>
      <c r="S201" s="17">
        <v>372</v>
      </c>
      <c r="V201">
        <v>80</v>
      </c>
      <c r="X201">
        <v>400</v>
      </c>
      <c r="AF201" t="e">
        <f>-#REF!</f>
        <v>#REF!</v>
      </c>
      <c r="AP201" t="str">
        <f t="shared" si="20"/>
        <v>Túnel completo-Vol 136</v>
      </c>
    </row>
    <row r="202" spans="1:42" ht="15" customHeight="1" x14ac:dyDescent="0.3">
      <c r="A202" s="30">
        <v>128</v>
      </c>
      <c r="B202" s="12" t="s">
        <v>144</v>
      </c>
      <c r="C202">
        <v>2024</v>
      </c>
      <c r="D202" t="s">
        <v>211</v>
      </c>
      <c r="E202" s="16">
        <v>45468</v>
      </c>
      <c r="F202" t="s">
        <v>184</v>
      </c>
      <c r="G202">
        <v>128</v>
      </c>
      <c r="H202">
        <f t="shared" si="15"/>
        <v>153</v>
      </c>
      <c r="I202">
        <v>0</v>
      </c>
      <c r="J202">
        <v>153</v>
      </c>
      <c r="L202">
        <v>153</v>
      </c>
      <c r="O202">
        <f>Tabla5[[#This Row],[Taladros Simples]]+Tabla5[[#This Row],[Taladros Dobles]]+Tabla5[[#This Row],[Taladros Triples]]</f>
        <v>153</v>
      </c>
      <c r="Q202" s="17">
        <v>100</v>
      </c>
      <c r="S202" s="17">
        <v>500</v>
      </c>
      <c r="V202">
        <v>10</v>
      </c>
      <c r="X202">
        <v>200</v>
      </c>
      <c r="AF202" t="e">
        <f>-#REF!</f>
        <v>#REF!</v>
      </c>
      <c r="AP202" t="str">
        <f t="shared" si="20"/>
        <v>Túnel completo-Vol 128</v>
      </c>
    </row>
    <row r="203" spans="1:42" ht="15" customHeight="1" x14ac:dyDescent="0.3">
      <c r="A203" s="30">
        <v>129</v>
      </c>
      <c r="B203" s="12" t="s">
        <v>144</v>
      </c>
      <c r="C203">
        <v>2024</v>
      </c>
      <c r="D203" t="s">
        <v>211</v>
      </c>
      <c r="E203" s="16">
        <v>45469</v>
      </c>
      <c r="F203" t="s">
        <v>221</v>
      </c>
      <c r="G203">
        <v>129</v>
      </c>
      <c r="H203">
        <f t="shared" si="15"/>
        <v>156</v>
      </c>
      <c r="I203">
        <v>0</v>
      </c>
      <c r="J203">
        <v>156</v>
      </c>
      <c r="L203">
        <v>139</v>
      </c>
      <c r="O203">
        <v>139</v>
      </c>
      <c r="Q203" s="17" t="s">
        <v>225</v>
      </c>
      <c r="S203" s="17" t="s">
        <v>226</v>
      </c>
      <c r="V203">
        <v>40</v>
      </c>
      <c r="X203">
        <v>400</v>
      </c>
      <c r="AF203" t="e">
        <f>-#REF!</f>
        <v>#REF!</v>
      </c>
      <c r="AP203" t="str">
        <f t="shared" si="20"/>
        <v>Túnel completo + banco-Vol 129</v>
      </c>
    </row>
    <row r="204" spans="1:42" ht="15" customHeight="1" x14ac:dyDescent="0.3">
      <c r="A204" s="30">
        <v>46</v>
      </c>
      <c r="B204" s="12" t="s">
        <v>199</v>
      </c>
      <c r="C204">
        <v>2024</v>
      </c>
      <c r="D204" t="s">
        <v>211</v>
      </c>
      <c r="E204" s="16">
        <v>45469</v>
      </c>
      <c r="F204" t="s">
        <v>213</v>
      </c>
      <c r="G204">
        <v>46</v>
      </c>
      <c r="H204">
        <f t="shared" si="15"/>
        <v>155</v>
      </c>
      <c r="I204">
        <v>0</v>
      </c>
      <c r="J204">
        <v>155</v>
      </c>
      <c r="L204">
        <v>155</v>
      </c>
      <c r="O204">
        <v>155</v>
      </c>
      <c r="Q204" s="17">
        <v>15</v>
      </c>
      <c r="S204" s="17">
        <v>75.27</v>
      </c>
      <c r="X204">
        <v>200</v>
      </c>
      <c r="AF204" t="e">
        <f>-#REF!</f>
        <v>#REF!</v>
      </c>
      <c r="AP204" t="str">
        <f t="shared" si="20"/>
        <v>Galeria 01 - CI-Vol 46</v>
      </c>
    </row>
    <row r="205" spans="1:42" ht="15" customHeight="1" x14ac:dyDescent="0.3">
      <c r="A205" s="30">
        <v>47</v>
      </c>
      <c r="B205" s="12" t="s">
        <v>199</v>
      </c>
      <c r="C205">
        <v>2024</v>
      </c>
      <c r="D205" t="s">
        <v>211</v>
      </c>
      <c r="E205" s="16">
        <v>45469</v>
      </c>
      <c r="F205" t="s">
        <v>213</v>
      </c>
      <c r="G205">
        <v>47</v>
      </c>
      <c r="H205">
        <f t="shared" si="15"/>
        <v>108</v>
      </c>
      <c r="I205">
        <v>0</v>
      </c>
      <c r="J205">
        <v>108</v>
      </c>
      <c r="L205">
        <v>108</v>
      </c>
      <c r="O205">
        <f>Tabla5[[#This Row],[Taladros Simples]]+Tabla5[[#This Row],[Taladros Dobles]]+Tabla5[[#This Row],[Taladros Triples]]</f>
        <v>108</v>
      </c>
      <c r="X205">
        <v>200</v>
      </c>
      <c r="AF205" t="e">
        <f>-#REF!</f>
        <v>#REF!</v>
      </c>
      <c r="AP205" t="str">
        <f t="shared" si="20"/>
        <v>Galeria 01 - CI-Vol 47</v>
      </c>
    </row>
    <row r="206" spans="1:42" ht="15" customHeight="1" x14ac:dyDescent="0.3">
      <c r="A206" s="30">
        <v>130</v>
      </c>
      <c r="B206" s="12" t="s">
        <v>144</v>
      </c>
      <c r="C206">
        <v>2024</v>
      </c>
      <c r="D206" t="s">
        <v>211</v>
      </c>
      <c r="E206" s="16">
        <v>45469</v>
      </c>
      <c r="F206" t="s">
        <v>184</v>
      </c>
      <c r="G206">
        <v>130</v>
      </c>
      <c r="H206">
        <f t="shared" si="15"/>
        <v>143</v>
      </c>
      <c r="I206">
        <v>0</v>
      </c>
      <c r="J206">
        <v>143</v>
      </c>
      <c r="L206">
        <v>143</v>
      </c>
      <c r="O206">
        <v>143</v>
      </c>
      <c r="Q206" s="17">
        <v>77</v>
      </c>
      <c r="S206" s="17">
        <v>359</v>
      </c>
      <c r="V206">
        <v>60</v>
      </c>
      <c r="X206">
        <v>200</v>
      </c>
      <c r="AF206" t="e">
        <f>-#REF!</f>
        <v>#REF!</v>
      </c>
      <c r="AP206" t="str">
        <f t="shared" si="20"/>
        <v>Túnel completo-Vol 130</v>
      </c>
    </row>
    <row r="207" spans="1:42" ht="15" customHeight="1" x14ac:dyDescent="0.3">
      <c r="A207" s="30">
        <v>48</v>
      </c>
      <c r="B207" s="12" t="s">
        <v>199</v>
      </c>
      <c r="C207">
        <v>2024</v>
      </c>
      <c r="D207" t="s">
        <v>211</v>
      </c>
      <c r="E207" s="16">
        <v>45470</v>
      </c>
      <c r="F207" t="s">
        <v>213</v>
      </c>
      <c r="G207">
        <v>48</v>
      </c>
      <c r="H207">
        <f t="shared" si="15"/>
        <v>120</v>
      </c>
      <c r="I207">
        <v>0</v>
      </c>
      <c r="J207">
        <v>120</v>
      </c>
      <c r="L207">
        <v>120</v>
      </c>
      <c r="O207">
        <f>Tabla5[[#This Row],[Taladros Simples]]+Tabla5[[#This Row],[Taladros Dobles]]+Tabla5[[#This Row],[Taladros Triples]]</f>
        <v>120</v>
      </c>
      <c r="Q207" s="17">
        <v>25</v>
      </c>
      <c r="S207" s="17">
        <v>350</v>
      </c>
      <c r="X207">
        <v>200</v>
      </c>
      <c r="AF207" t="e">
        <f>-#REF!</f>
        <v>#REF!</v>
      </c>
      <c r="AP207" t="str">
        <f t="shared" si="20"/>
        <v>Galeria 01 - CI-Vol 48</v>
      </c>
    </row>
    <row r="208" spans="1:42" ht="15" customHeight="1" x14ac:dyDescent="0.3">
      <c r="A208" s="30">
        <v>131</v>
      </c>
      <c r="B208" s="12" t="s">
        <v>144</v>
      </c>
      <c r="C208">
        <v>2024</v>
      </c>
      <c r="D208" t="s">
        <v>211</v>
      </c>
      <c r="E208" s="16">
        <v>45470</v>
      </c>
      <c r="F208" t="s">
        <v>184</v>
      </c>
      <c r="G208">
        <v>131</v>
      </c>
      <c r="H208">
        <f t="shared" si="15"/>
        <v>138</v>
      </c>
      <c r="I208">
        <v>0</v>
      </c>
      <c r="J208">
        <v>138</v>
      </c>
      <c r="L208">
        <v>138</v>
      </c>
      <c r="O208">
        <v>138</v>
      </c>
      <c r="Q208" s="17" t="s">
        <v>227</v>
      </c>
      <c r="S208" s="17">
        <v>456</v>
      </c>
      <c r="V208">
        <v>30</v>
      </c>
      <c r="X208">
        <v>200</v>
      </c>
      <c r="AF208" t="e">
        <f>-#REF!</f>
        <v>#REF!</v>
      </c>
      <c r="AP208" t="str">
        <f t="shared" si="20"/>
        <v>Túnel completo-Vol 131</v>
      </c>
    </row>
    <row r="209" spans="1:42" ht="15" customHeight="1" x14ac:dyDescent="0.3">
      <c r="A209" s="30">
        <v>132</v>
      </c>
      <c r="B209" s="12" t="s">
        <v>144</v>
      </c>
      <c r="C209">
        <v>2024</v>
      </c>
      <c r="D209" t="s">
        <v>211</v>
      </c>
      <c r="E209" s="16">
        <v>45470</v>
      </c>
      <c r="F209" t="s">
        <v>184</v>
      </c>
      <c r="G209">
        <v>132</v>
      </c>
      <c r="H209">
        <f t="shared" si="15"/>
        <v>151</v>
      </c>
      <c r="I209">
        <v>0</v>
      </c>
      <c r="J209">
        <v>151</v>
      </c>
      <c r="L209">
        <v>151</v>
      </c>
      <c r="O209">
        <v>151</v>
      </c>
      <c r="Q209" s="17">
        <v>152</v>
      </c>
      <c r="S209" s="17" t="s">
        <v>228</v>
      </c>
      <c r="V209">
        <v>62</v>
      </c>
      <c r="X209">
        <v>200</v>
      </c>
      <c r="AF209" t="e">
        <f>-#REF!</f>
        <v>#REF!</v>
      </c>
      <c r="AP209" t="str">
        <f t="shared" si="20"/>
        <v>Túnel completo-Vol 132</v>
      </c>
    </row>
    <row r="210" spans="1:42" ht="15" customHeight="1" x14ac:dyDescent="0.3">
      <c r="A210" s="30">
        <v>49</v>
      </c>
      <c r="B210" s="12" t="s">
        <v>199</v>
      </c>
      <c r="C210">
        <v>2024</v>
      </c>
      <c r="D210" t="s">
        <v>211</v>
      </c>
      <c r="E210" s="16">
        <v>45470</v>
      </c>
      <c r="F210" t="s">
        <v>213</v>
      </c>
      <c r="G210">
        <v>49</v>
      </c>
      <c r="H210">
        <f t="shared" si="15"/>
        <v>97</v>
      </c>
      <c r="I210">
        <v>0</v>
      </c>
      <c r="J210">
        <v>97</v>
      </c>
      <c r="L210">
        <v>97</v>
      </c>
      <c r="O210">
        <f>Tabla5[[#This Row],[Taladros Simples]]+Tabla5[[#This Row],[Taladros Dobles]]+Tabla5[[#This Row],[Taladros Triples]]</f>
        <v>97</v>
      </c>
      <c r="Q210" s="17">
        <v>0</v>
      </c>
      <c r="R210" s="17">
        <v>0</v>
      </c>
      <c r="S210" s="17">
        <v>334</v>
      </c>
      <c r="V210">
        <v>30</v>
      </c>
      <c r="X210">
        <v>200</v>
      </c>
      <c r="AF210" t="e">
        <f>-#REF!</f>
        <v>#REF!</v>
      </c>
      <c r="AP210" t="str">
        <f t="shared" si="20"/>
        <v>Galeria 01 - CI-Vol 49</v>
      </c>
    </row>
    <row r="211" spans="1:42" ht="15" customHeight="1" x14ac:dyDescent="0.3">
      <c r="A211" s="30">
        <v>133</v>
      </c>
      <c r="B211" s="12" t="s">
        <v>144</v>
      </c>
      <c r="C211">
        <v>2024</v>
      </c>
      <c r="D211" t="s">
        <v>211</v>
      </c>
      <c r="E211" s="16">
        <v>45471</v>
      </c>
      <c r="F211" t="s">
        <v>184</v>
      </c>
      <c r="G211">
        <v>133</v>
      </c>
      <c r="H211">
        <f t="shared" si="15"/>
        <v>156</v>
      </c>
      <c r="I211">
        <v>0</v>
      </c>
      <c r="J211">
        <v>156</v>
      </c>
      <c r="L211">
        <v>156</v>
      </c>
      <c r="O211">
        <v>156</v>
      </c>
      <c r="Q211" s="17">
        <v>105</v>
      </c>
      <c r="R211" s="17">
        <v>138</v>
      </c>
      <c r="S211" s="17">
        <v>500</v>
      </c>
      <c r="V211">
        <v>115</v>
      </c>
      <c r="X211">
        <v>400</v>
      </c>
      <c r="AF211" t="e">
        <f>-#REF!</f>
        <v>#REF!</v>
      </c>
      <c r="AP211" t="str">
        <f t="shared" si="20"/>
        <v>Túnel completo-Vol 133</v>
      </c>
    </row>
    <row r="212" spans="1:42" ht="15" customHeight="1" x14ac:dyDescent="0.3">
      <c r="A212" s="30">
        <v>50</v>
      </c>
      <c r="B212" s="12" t="s">
        <v>199</v>
      </c>
      <c r="C212">
        <v>2024</v>
      </c>
      <c r="D212" t="s">
        <v>211</v>
      </c>
      <c r="E212" s="16">
        <v>45471</v>
      </c>
      <c r="F212" t="s">
        <v>213</v>
      </c>
      <c r="G212">
        <v>50</v>
      </c>
      <c r="H212">
        <f t="shared" si="15"/>
        <v>118</v>
      </c>
      <c r="I212">
        <v>0</v>
      </c>
      <c r="J212">
        <v>118</v>
      </c>
      <c r="L212">
        <v>118</v>
      </c>
      <c r="O212">
        <v>118</v>
      </c>
      <c r="Q212" s="17">
        <v>0</v>
      </c>
      <c r="R212" s="17">
        <v>0</v>
      </c>
      <c r="S212" s="17">
        <v>375</v>
      </c>
      <c r="V212">
        <v>0</v>
      </c>
      <c r="X212">
        <v>200</v>
      </c>
      <c r="AF212" t="e">
        <f>-#REF!</f>
        <v>#REF!</v>
      </c>
      <c r="AP212" t="str">
        <f t="shared" si="20"/>
        <v>Galeria 01 - CI-Vol 50</v>
      </c>
    </row>
    <row r="213" spans="1:42" ht="15" customHeight="1" x14ac:dyDescent="0.3">
      <c r="A213" s="30">
        <v>134</v>
      </c>
      <c r="B213" s="12" t="s">
        <v>144</v>
      </c>
      <c r="C213">
        <v>2024</v>
      </c>
      <c r="D213" t="s">
        <v>211</v>
      </c>
      <c r="E213" s="16">
        <v>45471</v>
      </c>
      <c r="F213" t="s">
        <v>184</v>
      </c>
      <c r="G213">
        <v>134</v>
      </c>
      <c r="H213">
        <f t="shared" si="15"/>
        <v>184</v>
      </c>
      <c r="I213">
        <v>0</v>
      </c>
      <c r="J213">
        <v>184</v>
      </c>
      <c r="L213">
        <v>184</v>
      </c>
      <c r="O213">
        <v>184</v>
      </c>
      <c r="Q213" s="17" t="s">
        <v>229</v>
      </c>
      <c r="R213" s="17">
        <v>171</v>
      </c>
      <c r="S213" s="17">
        <v>630</v>
      </c>
      <c r="V213">
        <v>111</v>
      </c>
      <c r="X213">
        <v>400</v>
      </c>
      <c r="AF213" t="e">
        <f>-#REF!</f>
        <v>#REF!</v>
      </c>
      <c r="AP213" t="str">
        <f t="shared" si="20"/>
        <v>Túnel completo-Vol 134</v>
      </c>
    </row>
    <row r="214" spans="1:42" ht="15" customHeight="1" x14ac:dyDescent="0.3">
      <c r="A214" s="30">
        <v>51</v>
      </c>
      <c r="B214" s="12" t="s">
        <v>199</v>
      </c>
      <c r="C214">
        <v>2024</v>
      </c>
      <c r="D214" t="s">
        <v>211</v>
      </c>
      <c r="E214" s="16">
        <v>45471</v>
      </c>
      <c r="F214" t="s">
        <v>213</v>
      </c>
      <c r="G214">
        <v>51</v>
      </c>
      <c r="H214">
        <f t="shared" si="15"/>
        <v>97</v>
      </c>
      <c r="I214">
        <v>0</v>
      </c>
      <c r="J214">
        <v>97</v>
      </c>
      <c r="L214">
        <v>97</v>
      </c>
      <c r="O214">
        <f>Tabla5[[#This Row],[Taladros Simples]]+Tabla5[[#This Row],[Taladros Dobles]]+Tabla5[[#This Row],[Taladros Triples]]</f>
        <v>97</v>
      </c>
      <c r="Q214" s="17">
        <v>0</v>
      </c>
      <c r="R214" s="17">
        <v>0</v>
      </c>
      <c r="S214" s="17">
        <v>334</v>
      </c>
      <c r="V214">
        <v>20</v>
      </c>
      <c r="X214">
        <v>200</v>
      </c>
      <c r="AF214" t="e">
        <f>-#REF!</f>
        <v>#REF!</v>
      </c>
      <c r="AP214" t="str">
        <f t="shared" si="20"/>
        <v>Galeria 01 - CI-Vol 51</v>
      </c>
    </row>
    <row r="215" spans="1:42" ht="15" customHeight="1" x14ac:dyDescent="0.3">
      <c r="A215" s="30">
        <v>135</v>
      </c>
      <c r="B215" s="12" t="s">
        <v>144</v>
      </c>
      <c r="C215">
        <v>2024</v>
      </c>
      <c r="D215" t="s">
        <v>211</v>
      </c>
      <c r="E215" s="16">
        <v>45472</v>
      </c>
      <c r="F215" t="s">
        <v>184</v>
      </c>
      <c r="G215">
        <v>135</v>
      </c>
      <c r="H215">
        <f t="shared" si="15"/>
        <v>158</v>
      </c>
      <c r="I215">
        <v>0</v>
      </c>
      <c r="J215">
        <v>158</v>
      </c>
      <c r="L215">
        <v>158</v>
      </c>
      <c r="O215">
        <v>122</v>
      </c>
      <c r="Q215" s="17">
        <v>0</v>
      </c>
      <c r="R215" s="17">
        <v>0</v>
      </c>
      <c r="S215" s="17">
        <v>367</v>
      </c>
      <c r="V215">
        <v>20</v>
      </c>
      <c r="X215">
        <v>200</v>
      </c>
      <c r="AF215" t="e">
        <f>-#REF!</f>
        <v>#REF!</v>
      </c>
      <c r="AP215" t="str">
        <f t="shared" si="20"/>
        <v>Túnel completo-Vol 135</v>
      </c>
    </row>
    <row r="216" spans="1:42" ht="15" customHeight="1" x14ac:dyDescent="0.3">
      <c r="A216" s="30">
        <v>52</v>
      </c>
      <c r="B216" s="12" t="s">
        <v>199</v>
      </c>
      <c r="C216">
        <v>2024</v>
      </c>
      <c r="D216" t="s">
        <v>211</v>
      </c>
      <c r="E216" s="16">
        <v>45472</v>
      </c>
      <c r="F216" t="s">
        <v>213</v>
      </c>
      <c r="G216">
        <v>52</v>
      </c>
      <c r="H216">
        <f t="shared" si="15"/>
        <v>122</v>
      </c>
      <c r="I216">
        <v>0</v>
      </c>
      <c r="J216">
        <v>122</v>
      </c>
      <c r="L216">
        <v>122</v>
      </c>
      <c r="O216">
        <v>158</v>
      </c>
      <c r="Q216" s="17">
        <v>66</v>
      </c>
      <c r="R216" s="17">
        <v>155</v>
      </c>
      <c r="S216" s="17">
        <v>734</v>
      </c>
      <c r="V216">
        <v>91</v>
      </c>
      <c r="X216">
        <v>200</v>
      </c>
      <c r="AF216" t="e">
        <f>-#REF!</f>
        <v>#REF!</v>
      </c>
      <c r="AP216" t="str">
        <f t="shared" si="20"/>
        <v>Galeria 01 - CI-Vol 52</v>
      </c>
    </row>
    <row r="217" spans="1:42" ht="15" customHeight="1" x14ac:dyDescent="0.3">
      <c r="A217" s="30">
        <v>136</v>
      </c>
      <c r="B217" s="12" t="s">
        <v>144</v>
      </c>
      <c r="C217">
        <v>2024</v>
      </c>
      <c r="D217" t="s">
        <v>211</v>
      </c>
      <c r="E217" s="16">
        <v>45472</v>
      </c>
      <c r="F217" t="s">
        <v>184</v>
      </c>
      <c r="G217">
        <v>136</v>
      </c>
      <c r="H217">
        <f t="shared" si="15"/>
        <v>179</v>
      </c>
      <c r="I217">
        <v>0</v>
      </c>
      <c r="J217">
        <v>179</v>
      </c>
      <c r="L217">
        <v>174</v>
      </c>
      <c r="O217">
        <v>174</v>
      </c>
      <c r="Q217" s="17" t="s">
        <v>225</v>
      </c>
      <c r="R217" s="17">
        <v>307</v>
      </c>
      <c r="S217" s="17">
        <v>860</v>
      </c>
      <c r="V217">
        <v>105</v>
      </c>
      <c r="X217">
        <v>200</v>
      </c>
      <c r="AF217" t="e">
        <f>-#REF!</f>
        <v>#REF!</v>
      </c>
      <c r="AP217" t="str">
        <f t="shared" si="20"/>
        <v>Túnel completo-Vol 136</v>
      </c>
    </row>
    <row r="218" spans="1:42" ht="15" customHeight="1" x14ac:dyDescent="0.3">
      <c r="A218" s="30">
        <v>53</v>
      </c>
      <c r="B218" s="12" t="s">
        <v>199</v>
      </c>
      <c r="C218">
        <v>2024</v>
      </c>
      <c r="D218" t="s">
        <v>211</v>
      </c>
      <c r="E218" s="16">
        <v>45472</v>
      </c>
      <c r="F218" t="s">
        <v>213</v>
      </c>
      <c r="G218">
        <v>53</v>
      </c>
      <c r="H218">
        <f t="shared" si="15"/>
        <v>98</v>
      </c>
      <c r="I218">
        <v>0</v>
      </c>
      <c r="J218">
        <v>98</v>
      </c>
      <c r="L218">
        <v>98</v>
      </c>
      <c r="O218">
        <f>Tabla5[[#This Row],[Taladros Simples]]+Tabla5[[#This Row],[Taladros Dobles]]+Tabla5[[#This Row],[Taladros Triples]]</f>
        <v>98</v>
      </c>
      <c r="Q218" s="17">
        <v>0</v>
      </c>
      <c r="R218" s="17">
        <v>0</v>
      </c>
      <c r="S218" s="17">
        <v>382</v>
      </c>
      <c r="V218">
        <v>30</v>
      </c>
      <c r="X218">
        <v>200</v>
      </c>
      <c r="AF218" t="e">
        <f>-#REF!</f>
        <v>#REF!</v>
      </c>
      <c r="AP218" t="str">
        <f t="shared" si="20"/>
        <v>Galeria 01 - CI-Vol 53</v>
      </c>
    </row>
    <row r="219" spans="1:42" ht="15" customHeight="1" x14ac:dyDescent="0.3">
      <c r="A219" s="30">
        <v>137</v>
      </c>
      <c r="B219" s="12" t="s">
        <v>144</v>
      </c>
      <c r="C219">
        <v>2024</v>
      </c>
      <c r="D219" t="s">
        <v>211</v>
      </c>
      <c r="E219" s="16">
        <v>45473</v>
      </c>
      <c r="F219" t="s">
        <v>184</v>
      </c>
      <c r="G219">
        <v>137</v>
      </c>
      <c r="H219">
        <f t="shared" si="15"/>
        <v>188</v>
      </c>
      <c r="I219">
        <v>0</v>
      </c>
      <c r="J219">
        <v>188</v>
      </c>
      <c r="L219">
        <v>183</v>
      </c>
      <c r="O219">
        <v>183</v>
      </c>
      <c r="Q219" s="17" t="s">
        <v>230</v>
      </c>
      <c r="R219" s="17">
        <v>281</v>
      </c>
      <c r="S219" s="17">
        <v>900</v>
      </c>
      <c r="V219">
        <v>150</v>
      </c>
      <c r="X219">
        <v>400</v>
      </c>
      <c r="AF219" t="e">
        <f>-#REF!</f>
        <v>#REF!</v>
      </c>
      <c r="AP219" t="str">
        <f t="shared" ref="AP219:AP236" si="21">CONCATENATE(F219,"-","Vol"," ",G219)</f>
        <v>Túnel completo-Vol 137</v>
      </c>
    </row>
    <row r="220" spans="1:42" ht="15" customHeight="1" x14ac:dyDescent="0.3">
      <c r="A220" s="30">
        <v>54</v>
      </c>
      <c r="B220" s="12" t="s">
        <v>199</v>
      </c>
      <c r="C220">
        <v>2024</v>
      </c>
      <c r="D220" t="s">
        <v>211</v>
      </c>
      <c r="E220" s="16">
        <v>45473</v>
      </c>
      <c r="F220" t="s">
        <v>213</v>
      </c>
      <c r="G220">
        <v>54</v>
      </c>
      <c r="H220">
        <f t="shared" si="15"/>
        <v>117</v>
      </c>
      <c r="I220">
        <v>0</v>
      </c>
      <c r="J220">
        <v>117</v>
      </c>
      <c r="L220">
        <v>117</v>
      </c>
      <c r="O220">
        <f>Tabla5[[#This Row],[Taladros Simples]]+Tabla5[[#This Row],[Taladros Dobles]]+Tabla5[[#This Row],[Taladros Triples]]</f>
        <v>117</v>
      </c>
      <c r="Q220" s="17">
        <v>0</v>
      </c>
      <c r="R220" s="17">
        <v>0</v>
      </c>
      <c r="S220" s="17">
        <v>358</v>
      </c>
      <c r="V220">
        <v>40</v>
      </c>
      <c r="X220">
        <v>200</v>
      </c>
      <c r="AF220" t="e">
        <f>-#REF!</f>
        <v>#REF!</v>
      </c>
      <c r="AP220" t="str">
        <f t="shared" si="21"/>
        <v>Galeria 01 - CI-Vol 54</v>
      </c>
    </row>
    <row r="221" spans="1:42" ht="15" customHeight="1" x14ac:dyDescent="0.3">
      <c r="A221" s="30">
        <v>138</v>
      </c>
      <c r="B221" s="12" t="s">
        <v>144</v>
      </c>
      <c r="C221">
        <v>2024</v>
      </c>
      <c r="D221" t="s">
        <v>211</v>
      </c>
      <c r="E221" s="16">
        <v>45473</v>
      </c>
      <c r="F221" t="s">
        <v>184</v>
      </c>
      <c r="G221">
        <v>138</v>
      </c>
      <c r="H221">
        <f t="shared" si="15"/>
        <v>181</v>
      </c>
      <c r="I221">
        <v>0</v>
      </c>
      <c r="J221">
        <v>181</v>
      </c>
      <c r="L221">
        <v>176</v>
      </c>
      <c r="O221">
        <v>181</v>
      </c>
      <c r="Q221" s="17">
        <v>130</v>
      </c>
      <c r="R221" s="17">
        <v>335</v>
      </c>
      <c r="S221" s="17">
        <v>860</v>
      </c>
      <c r="V221">
        <v>120</v>
      </c>
      <c r="X221">
        <v>200</v>
      </c>
      <c r="AF221" t="e">
        <f>-#REF!</f>
        <v>#REF!</v>
      </c>
      <c r="AP221" t="str">
        <f t="shared" si="21"/>
        <v>Túnel completo-Vol 138</v>
      </c>
    </row>
    <row r="222" spans="1:42" ht="15" customHeight="1" x14ac:dyDescent="0.3">
      <c r="A222" s="30">
        <v>55</v>
      </c>
      <c r="B222" s="12" t="s">
        <v>199</v>
      </c>
      <c r="C222">
        <v>2024</v>
      </c>
      <c r="D222" t="s">
        <v>211</v>
      </c>
      <c r="E222" s="16">
        <v>45473</v>
      </c>
      <c r="F222" t="s">
        <v>213</v>
      </c>
      <c r="G222">
        <v>55</v>
      </c>
      <c r="H222">
        <f t="shared" si="15"/>
        <v>109</v>
      </c>
      <c r="I222">
        <v>0</v>
      </c>
      <c r="J222">
        <v>109</v>
      </c>
      <c r="L222">
        <v>109</v>
      </c>
      <c r="O222">
        <f>Tabla5[[#This Row],[Taladros Simples]]+Tabla5[[#This Row],[Taladros Dobles]]+Tabla5[[#This Row],[Taladros Triples]]</f>
        <v>109</v>
      </c>
      <c r="Q222" s="17">
        <v>0</v>
      </c>
      <c r="R222" s="17">
        <v>95</v>
      </c>
      <c r="S222" s="17">
        <v>400</v>
      </c>
      <c r="V222">
        <v>30</v>
      </c>
      <c r="X222">
        <v>200</v>
      </c>
      <c r="AF222" t="e">
        <f>-#REF!</f>
        <v>#REF!</v>
      </c>
      <c r="AP222" t="str">
        <f t="shared" si="21"/>
        <v>Galeria 01 - CI-Vol 55</v>
      </c>
    </row>
    <row r="223" spans="1:42" ht="15" customHeight="1" x14ac:dyDescent="0.3">
      <c r="A223" s="30">
        <v>139</v>
      </c>
      <c r="B223" s="12" t="s">
        <v>144</v>
      </c>
      <c r="C223">
        <v>2024</v>
      </c>
      <c r="D223" t="s">
        <v>231</v>
      </c>
      <c r="E223" s="16">
        <v>45474</v>
      </c>
      <c r="F223" t="s">
        <v>184</v>
      </c>
      <c r="G223">
        <v>139</v>
      </c>
      <c r="H223">
        <f t="shared" si="15"/>
        <v>159</v>
      </c>
      <c r="I223">
        <v>0</v>
      </c>
      <c r="J223">
        <v>159</v>
      </c>
      <c r="L223">
        <v>154</v>
      </c>
      <c r="O223">
        <v>154</v>
      </c>
      <c r="Q223" s="17">
        <v>54</v>
      </c>
      <c r="R223" s="17">
        <v>215</v>
      </c>
      <c r="S223" s="17">
        <v>855</v>
      </c>
      <c r="V223">
        <v>151</v>
      </c>
      <c r="X223">
        <v>200</v>
      </c>
      <c r="AF223" t="e">
        <f>-#REF!</f>
        <v>#REF!</v>
      </c>
      <c r="AP223" t="str">
        <f t="shared" si="21"/>
        <v>Túnel completo-Vol 139</v>
      </c>
    </row>
    <row r="224" spans="1:42" ht="15" customHeight="1" x14ac:dyDescent="0.3">
      <c r="A224" s="30">
        <v>56</v>
      </c>
      <c r="B224" s="12" t="s">
        <v>199</v>
      </c>
      <c r="C224">
        <v>2024</v>
      </c>
      <c r="D224" t="s">
        <v>231</v>
      </c>
      <c r="E224" s="16">
        <v>45474</v>
      </c>
      <c r="F224" t="s">
        <v>213</v>
      </c>
      <c r="G224">
        <v>55</v>
      </c>
      <c r="H224">
        <f t="shared" ref="H224:H266" si="22">J224</f>
        <v>104</v>
      </c>
      <c r="I224">
        <v>0</v>
      </c>
      <c r="J224">
        <v>104</v>
      </c>
      <c r="L224">
        <v>104</v>
      </c>
      <c r="O224">
        <v>104</v>
      </c>
      <c r="Q224" s="17">
        <v>0</v>
      </c>
      <c r="R224" s="17">
        <v>0</v>
      </c>
      <c r="S224" s="17">
        <v>400</v>
      </c>
      <c r="V224">
        <v>20</v>
      </c>
      <c r="X224">
        <v>200</v>
      </c>
      <c r="AF224" t="e">
        <f>-#REF!</f>
        <v>#REF!</v>
      </c>
      <c r="AP224" t="str">
        <f t="shared" si="21"/>
        <v>Galeria 01 - CI-Vol 55</v>
      </c>
    </row>
    <row r="225" spans="1:42" ht="15" customHeight="1" x14ac:dyDescent="0.3">
      <c r="A225" s="30">
        <v>140</v>
      </c>
      <c r="B225" s="12" t="s">
        <v>144</v>
      </c>
      <c r="C225">
        <v>2024</v>
      </c>
      <c r="D225" t="s">
        <v>231</v>
      </c>
      <c r="E225" s="16">
        <v>45474</v>
      </c>
      <c r="F225" t="s">
        <v>184</v>
      </c>
      <c r="G225">
        <v>140</v>
      </c>
      <c r="H225">
        <f t="shared" si="22"/>
        <v>178</v>
      </c>
      <c r="I225">
        <v>0</v>
      </c>
      <c r="J225">
        <v>178</v>
      </c>
      <c r="L225">
        <v>173</v>
      </c>
      <c r="O225">
        <v>173</v>
      </c>
      <c r="Q225" s="17">
        <v>806</v>
      </c>
      <c r="R225" s="17">
        <v>255</v>
      </c>
      <c r="S225" s="17" t="s">
        <v>232</v>
      </c>
      <c r="V225">
        <v>160</v>
      </c>
      <c r="X225">
        <v>200</v>
      </c>
      <c r="AF225" t="e">
        <f>-#REF!</f>
        <v>#REF!</v>
      </c>
      <c r="AP225" t="str">
        <f t="shared" si="21"/>
        <v>Túnel completo-Vol 140</v>
      </c>
    </row>
    <row r="226" spans="1:42" ht="15" customHeight="1" x14ac:dyDescent="0.3">
      <c r="A226" s="30">
        <v>141</v>
      </c>
      <c r="B226" s="12" t="s">
        <v>144</v>
      </c>
      <c r="C226">
        <v>2024</v>
      </c>
      <c r="D226" t="s">
        <v>231</v>
      </c>
      <c r="E226" s="16">
        <v>45475</v>
      </c>
      <c r="F226" t="s">
        <v>221</v>
      </c>
      <c r="G226">
        <v>141</v>
      </c>
      <c r="H226">
        <f t="shared" si="22"/>
        <v>185</v>
      </c>
      <c r="I226">
        <v>0</v>
      </c>
      <c r="J226">
        <v>185</v>
      </c>
      <c r="L226">
        <v>185</v>
      </c>
      <c r="O226">
        <v>185</v>
      </c>
      <c r="Q226" s="17">
        <v>184</v>
      </c>
      <c r="R226" s="17">
        <v>230</v>
      </c>
      <c r="S226" s="17">
        <v>623</v>
      </c>
      <c r="V226">
        <v>160</v>
      </c>
      <c r="X226">
        <v>400</v>
      </c>
      <c r="AF226" t="e">
        <f>-#REF!</f>
        <v>#REF!</v>
      </c>
      <c r="AP226" t="str">
        <f t="shared" si="21"/>
        <v>Túnel completo + banco-Vol 141</v>
      </c>
    </row>
    <row r="227" spans="1:42" ht="15" customHeight="1" x14ac:dyDescent="0.3">
      <c r="A227" s="30">
        <v>57</v>
      </c>
      <c r="B227" s="12" t="s">
        <v>199</v>
      </c>
      <c r="C227">
        <v>2024</v>
      </c>
      <c r="D227" t="s">
        <v>231</v>
      </c>
      <c r="E227" s="16">
        <v>45474</v>
      </c>
      <c r="F227" t="s">
        <v>213</v>
      </c>
      <c r="G227">
        <v>57</v>
      </c>
      <c r="H227">
        <f t="shared" si="22"/>
        <v>103</v>
      </c>
      <c r="I227">
        <v>0</v>
      </c>
      <c r="J227">
        <v>103</v>
      </c>
      <c r="L227">
        <v>103</v>
      </c>
      <c r="O227">
        <f>Tabla5[[#This Row],[Taladros Simples]]+Tabla5[[#This Row],[Taladros Dobles]]+Tabla5[[#This Row],[Taladros Triples]]</f>
        <v>103</v>
      </c>
      <c r="Q227" s="17">
        <v>0</v>
      </c>
      <c r="R227" s="17">
        <v>0</v>
      </c>
      <c r="S227" s="17">
        <v>359</v>
      </c>
      <c r="V227">
        <v>32</v>
      </c>
      <c r="X227">
        <v>200</v>
      </c>
      <c r="AF227" t="e">
        <f>-#REF!</f>
        <v>#REF!</v>
      </c>
      <c r="AP227" t="str">
        <f t="shared" si="21"/>
        <v>Galeria 01 - CI-Vol 57</v>
      </c>
    </row>
    <row r="228" spans="1:42" ht="15" customHeight="1" x14ac:dyDescent="0.3">
      <c r="A228" s="30">
        <v>58</v>
      </c>
      <c r="B228" s="12" t="s">
        <v>199</v>
      </c>
      <c r="C228">
        <v>2024</v>
      </c>
      <c r="D228" t="s">
        <v>231</v>
      </c>
      <c r="E228" s="16">
        <v>45475</v>
      </c>
      <c r="F228" t="s">
        <v>213</v>
      </c>
      <c r="G228">
        <v>58</v>
      </c>
      <c r="H228">
        <f t="shared" si="22"/>
        <v>116</v>
      </c>
      <c r="I228">
        <v>0</v>
      </c>
      <c r="J228">
        <v>116</v>
      </c>
      <c r="L228">
        <v>116</v>
      </c>
      <c r="O228">
        <f>Tabla5[[#This Row],[Taladros Simples]]+Tabla5[[#This Row],[Taladros Dobles]]+Tabla5[[#This Row],[Taladros Triples]]</f>
        <v>116</v>
      </c>
      <c r="Q228" s="17">
        <v>0</v>
      </c>
      <c r="R228" s="17">
        <v>0</v>
      </c>
      <c r="S228" s="17">
        <v>550</v>
      </c>
      <c r="V228">
        <v>30</v>
      </c>
      <c r="X228">
        <v>200</v>
      </c>
      <c r="AF228" t="e">
        <f>-#REF!</f>
        <v>#REF!</v>
      </c>
      <c r="AP228" t="str">
        <f t="shared" si="21"/>
        <v>Galeria 01 - CI-Vol 58</v>
      </c>
    </row>
    <row r="229" spans="1:42" ht="15" customHeight="1" x14ac:dyDescent="0.3">
      <c r="A229" s="30">
        <v>142</v>
      </c>
      <c r="B229" s="12" t="s">
        <v>144</v>
      </c>
      <c r="C229">
        <v>2024</v>
      </c>
      <c r="D229" t="s">
        <v>231</v>
      </c>
      <c r="E229" s="16">
        <v>45475</v>
      </c>
      <c r="F229" t="s">
        <v>221</v>
      </c>
      <c r="G229">
        <v>142</v>
      </c>
      <c r="H229">
        <f t="shared" si="22"/>
        <v>189</v>
      </c>
      <c r="I229">
        <v>0</v>
      </c>
      <c r="J229">
        <v>189</v>
      </c>
      <c r="L229">
        <v>184</v>
      </c>
      <c r="O229">
        <v>184</v>
      </c>
      <c r="Q229" s="17">
        <v>110</v>
      </c>
      <c r="R229" s="17">
        <v>240</v>
      </c>
      <c r="S229" s="17">
        <v>944</v>
      </c>
      <c r="V229">
        <v>200</v>
      </c>
      <c r="X229">
        <v>400</v>
      </c>
      <c r="AF229" t="e">
        <f>-#REF!</f>
        <v>#REF!</v>
      </c>
      <c r="AP229" t="str">
        <f t="shared" si="21"/>
        <v>Túnel completo + banco-Vol 142</v>
      </c>
    </row>
    <row r="230" spans="1:42" ht="15" customHeight="1" x14ac:dyDescent="0.3">
      <c r="A230" s="30">
        <v>59</v>
      </c>
      <c r="B230" s="12" t="s">
        <v>199</v>
      </c>
      <c r="C230">
        <v>2024</v>
      </c>
      <c r="D230" t="s">
        <v>231</v>
      </c>
      <c r="E230" s="16">
        <v>45475</v>
      </c>
      <c r="F230" t="s">
        <v>213</v>
      </c>
      <c r="G230">
        <v>59</v>
      </c>
      <c r="H230">
        <f t="shared" si="22"/>
        <v>112</v>
      </c>
      <c r="I230">
        <v>0</v>
      </c>
      <c r="J230">
        <v>112</v>
      </c>
      <c r="L230">
        <v>112</v>
      </c>
      <c r="O230">
        <v>112</v>
      </c>
      <c r="Q230" s="17">
        <v>551</v>
      </c>
      <c r="R230" s="17">
        <v>168</v>
      </c>
      <c r="S230" s="17">
        <v>0</v>
      </c>
      <c r="V230">
        <v>100</v>
      </c>
      <c r="X230">
        <v>200</v>
      </c>
      <c r="AF230" t="e">
        <f>-#REF!</f>
        <v>#REF!</v>
      </c>
      <c r="AP230" t="str">
        <f t="shared" si="21"/>
        <v>Galeria 01 - CI-Vol 59</v>
      </c>
    </row>
    <row r="231" spans="1:42" ht="15" customHeight="1" x14ac:dyDescent="0.3">
      <c r="A231" s="30" t="s">
        <v>233</v>
      </c>
      <c r="B231" s="12" t="s">
        <v>144</v>
      </c>
      <c r="C231">
        <v>2024</v>
      </c>
      <c r="D231" t="s">
        <v>231</v>
      </c>
      <c r="E231" s="16">
        <v>45475</v>
      </c>
      <c r="F231" t="s">
        <v>213</v>
      </c>
      <c r="G231" t="s">
        <v>233</v>
      </c>
      <c r="H231">
        <f t="shared" si="22"/>
        <v>24</v>
      </c>
      <c r="I231">
        <v>0</v>
      </c>
      <c r="J231">
        <v>24</v>
      </c>
      <c r="L231">
        <v>24</v>
      </c>
      <c r="O231">
        <v>24</v>
      </c>
      <c r="AF231" t="e">
        <f>-#REF!</f>
        <v>#REF!</v>
      </c>
      <c r="AP231" t="str">
        <f t="shared" si="21"/>
        <v>Galeria 01 - CI-Vol TSP</v>
      </c>
    </row>
    <row r="232" spans="1:42" ht="15" customHeight="1" x14ac:dyDescent="0.3">
      <c r="A232" s="30">
        <v>143</v>
      </c>
      <c r="B232" s="12" t="s">
        <v>144</v>
      </c>
      <c r="C232">
        <v>2024</v>
      </c>
      <c r="D232" t="s">
        <v>231</v>
      </c>
      <c r="E232" s="16">
        <v>45476</v>
      </c>
      <c r="F232" t="s">
        <v>221</v>
      </c>
      <c r="G232">
        <v>143</v>
      </c>
      <c r="H232">
        <f t="shared" si="22"/>
        <v>169</v>
      </c>
      <c r="I232">
        <v>0</v>
      </c>
      <c r="J232">
        <v>169</v>
      </c>
      <c r="L232">
        <v>169</v>
      </c>
      <c r="O232">
        <v>165</v>
      </c>
      <c r="Q232" s="17" t="s">
        <v>234</v>
      </c>
      <c r="R232" s="17">
        <v>168</v>
      </c>
      <c r="S232" s="17">
        <v>606</v>
      </c>
      <c r="V232">
        <v>143</v>
      </c>
      <c r="X232">
        <v>400</v>
      </c>
      <c r="AF232" t="e">
        <f>-#REF!</f>
        <v>#REF!</v>
      </c>
      <c r="AP232" t="str">
        <f t="shared" si="21"/>
        <v>Túnel completo + banco-Vol 143</v>
      </c>
    </row>
    <row r="233" spans="1:42" ht="19.5" customHeight="1" x14ac:dyDescent="0.3">
      <c r="A233" s="30">
        <v>60</v>
      </c>
      <c r="B233" s="12" t="s">
        <v>199</v>
      </c>
      <c r="C233">
        <v>2024</v>
      </c>
      <c r="D233" t="s">
        <v>231</v>
      </c>
      <c r="E233" s="16">
        <v>45476</v>
      </c>
      <c r="F233" t="s">
        <v>213</v>
      </c>
      <c r="G233">
        <v>60</v>
      </c>
      <c r="H233">
        <f t="shared" si="22"/>
        <v>116</v>
      </c>
      <c r="I233">
        <v>0</v>
      </c>
      <c r="J233">
        <v>116</v>
      </c>
      <c r="L233">
        <v>116</v>
      </c>
      <c r="O233">
        <f>Tabla5[[#This Row],[Taladros Simples]]+Tabla5[[#This Row],[Taladros Dobles]]+Tabla5[[#This Row],[Taladros Triples]]</f>
        <v>116</v>
      </c>
      <c r="Q233" s="17">
        <v>356</v>
      </c>
      <c r="R233" s="17">
        <v>131</v>
      </c>
      <c r="S233" s="17">
        <v>89</v>
      </c>
      <c r="X233">
        <v>200</v>
      </c>
      <c r="AF233" t="e">
        <f>-#REF!</f>
        <v>#REF!</v>
      </c>
      <c r="AP233" t="str">
        <f t="shared" si="21"/>
        <v>Galeria 01 - CI-Vol 60</v>
      </c>
    </row>
    <row r="234" spans="1:42" ht="15" customHeight="1" x14ac:dyDescent="0.3">
      <c r="A234" s="30">
        <v>61</v>
      </c>
      <c r="B234" s="12" t="s">
        <v>199</v>
      </c>
      <c r="C234">
        <v>2024</v>
      </c>
      <c r="D234" t="s">
        <v>231</v>
      </c>
      <c r="E234" s="16">
        <v>45476</v>
      </c>
      <c r="F234" t="s">
        <v>213</v>
      </c>
      <c r="G234">
        <v>61</v>
      </c>
      <c r="H234">
        <f t="shared" si="22"/>
        <v>106</v>
      </c>
      <c r="I234">
        <v>0</v>
      </c>
      <c r="J234">
        <v>106</v>
      </c>
      <c r="L234">
        <v>106</v>
      </c>
      <c r="O234">
        <f>Tabla5[[#This Row],[Taladros Simples]]+Tabla5[[#This Row],[Taladros Dobles]]+Tabla5[[#This Row],[Taladros Triples]]</f>
        <v>106</v>
      </c>
      <c r="Q234" s="17">
        <v>520</v>
      </c>
      <c r="R234" s="17">
        <v>187</v>
      </c>
      <c r="S234" s="17">
        <v>100</v>
      </c>
      <c r="V234">
        <v>100</v>
      </c>
      <c r="X234">
        <v>200</v>
      </c>
      <c r="AF234" t="e">
        <f>-#REF!</f>
        <v>#REF!</v>
      </c>
      <c r="AP234" t="str">
        <f t="shared" si="21"/>
        <v>Galeria 01 - CI-Vol 61</v>
      </c>
    </row>
    <row r="235" spans="1:42" ht="15" customHeight="1" x14ac:dyDescent="0.3">
      <c r="A235" s="30">
        <v>62</v>
      </c>
      <c r="B235" s="12" t="s">
        <v>199</v>
      </c>
      <c r="C235">
        <v>2024</v>
      </c>
      <c r="D235" t="s">
        <v>231</v>
      </c>
      <c r="E235" s="16">
        <v>45477</v>
      </c>
      <c r="F235" t="s">
        <v>213</v>
      </c>
      <c r="G235">
        <v>62</v>
      </c>
      <c r="H235">
        <f t="shared" si="22"/>
        <v>114</v>
      </c>
      <c r="I235">
        <v>0</v>
      </c>
      <c r="J235">
        <v>114</v>
      </c>
      <c r="L235">
        <v>114</v>
      </c>
      <c r="O235">
        <f>Tabla5[[#This Row],[Taladros Simples]]+Tabla5[[#This Row],[Taladros Dobles]]+Tabla5[[#This Row],[Taladros Triples]]</f>
        <v>114</v>
      </c>
      <c r="Q235" s="17">
        <v>623</v>
      </c>
      <c r="R235" s="17">
        <v>99</v>
      </c>
      <c r="S235" s="17">
        <v>82</v>
      </c>
      <c r="V235">
        <v>45</v>
      </c>
      <c r="W235">
        <v>0</v>
      </c>
      <c r="X235">
        <v>200</v>
      </c>
      <c r="AF235" t="e">
        <f>-#REF!</f>
        <v>#REF!</v>
      </c>
      <c r="AP235" t="str">
        <f t="shared" si="21"/>
        <v>Galeria 01 - CI-Vol 62</v>
      </c>
    </row>
    <row r="236" spans="1:42" ht="15" customHeight="1" x14ac:dyDescent="0.3">
      <c r="A236" s="30">
        <v>144</v>
      </c>
      <c r="B236" s="12" t="s">
        <v>144</v>
      </c>
      <c r="C236">
        <v>2024</v>
      </c>
      <c r="D236" t="s">
        <v>231</v>
      </c>
      <c r="E236" s="16">
        <v>45476</v>
      </c>
      <c r="F236" t="s">
        <v>235</v>
      </c>
      <c r="G236">
        <v>144</v>
      </c>
      <c r="H236">
        <f t="shared" si="22"/>
        <v>194</v>
      </c>
      <c r="I236">
        <v>0</v>
      </c>
      <c r="J236">
        <v>194</v>
      </c>
      <c r="L236">
        <v>194</v>
      </c>
      <c r="O236">
        <f>Tabla5[[#This Row],[Taladros Simples]]+Tabla5[[#This Row],[Taladros Dobles]]+Tabla5[[#This Row],[Taladros Triples]]</f>
        <v>194</v>
      </c>
      <c r="Q236" s="17">
        <v>81</v>
      </c>
      <c r="R236" s="17">
        <v>89</v>
      </c>
      <c r="S236" s="17">
        <v>342</v>
      </c>
      <c r="V236">
        <v>47</v>
      </c>
      <c r="X236">
        <v>400</v>
      </c>
      <c r="AF236" t="e">
        <f>-#REF!</f>
        <v>#REF!</v>
      </c>
      <c r="AP236" t="str">
        <f t="shared" si="21"/>
        <v>Túnel completo + TSP-Vol 144</v>
      </c>
    </row>
    <row r="237" spans="1:42" ht="15" customHeight="1" x14ac:dyDescent="0.3">
      <c r="A237" s="30">
        <v>145</v>
      </c>
      <c r="B237" s="12" t="s">
        <v>144</v>
      </c>
      <c r="C237">
        <v>2024</v>
      </c>
      <c r="D237" t="s">
        <v>231</v>
      </c>
      <c r="E237" s="16">
        <v>45477</v>
      </c>
      <c r="F237" t="s">
        <v>221</v>
      </c>
      <c r="G237">
        <v>145</v>
      </c>
      <c r="H237">
        <f t="shared" si="22"/>
        <v>175</v>
      </c>
      <c r="I237">
        <v>0</v>
      </c>
      <c r="J237">
        <v>175</v>
      </c>
      <c r="L237">
        <v>175</v>
      </c>
      <c r="O237">
        <f>Tabla5[[#This Row],[Taladros Simples]]+Tabla5[[#This Row],[Taladros Dobles]]+Tabla5[[#This Row],[Taladros Triples]]</f>
        <v>175</v>
      </c>
      <c r="Q237" s="17">
        <v>181</v>
      </c>
      <c r="R237" s="17">
        <v>115</v>
      </c>
      <c r="S237" s="17">
        <v>467</v>
      </c>
      <c r="V237">
        <v>103</v>
      </c>
      <c r="X237">
        <v>400</v>
      </c>
      <c r="AF237" t="e">
        <f>-#REF!</f>
        <v>#REF!</v>
      </c>
      <c r="AP237" t="str">
        <f t="shared" ref="AP237:AP243" si="23">CONCATENATE(F237,"-","Vol"," ",G237)</f>
        <v>Túnel completo + banco-Vol 145</v>
      </c>
    </row>
    <row r="238" spans="1:42" ht="15" customHeight="1" x14ac:dyDescent="0.3">
      <c r="A238" s="30">
        <v>146</v>
      </c>
      <c r="B238" s="12" t="s">
        <v>144</v>
      </c>
      <c r="C238">
        <v>2024</v>
      </c>
      <c r="D238" t="s">
        <v>231</v>
      </c>
      <c r="E238" s="16">
        <v>45477</v>
      </c>
      <c r="F238" t="s">
        <v>221</v>
      </c>
      <c r="G238">
        <v>146</v>
      </c>
      <c r="H238">
        <f t="shared" si="22"/>
        <v>169</v>
      </c>
      <c r="I238">
        <v>0</v>
      </c>
      <c r="J238">
        <v>169</v>
      </c>
      <c r="L238">
        <v>0</v>
      </c>
      <c r="O238">
        <v>164</v>
      </c>
      <c r="Q238" s="17">
        <v>107</v>
      </c>
      <c r="R238" s="17">
        <v>198</v>
      </c>
      <c r="S238" s="17">
        <v>719</v>
      </c>
      <c r="V238">
        <v>108</v>
      </c>
      <c r="X238">
        <v>400</v>
      </c>
      <c r="AF238" t="e">
        <f>-#REF!</f>
        <v>#REF!</v>
      </c>
      <c r="AP238" t="str">
        <f t="shared" si="23"/>
        <v>Túnel completo + banco-Vol 146</v>
      </c>
    </row>
    <row r="239" spans="1:42" ht="15" customHeight="1" x14ac:dyDescent="0.3">
      <c r="A239" s="30">
        <v>147</v>
      </c>
      <c r="B239" s="12" t="s">
        <v>144</v>
      </c>
      <c r="C239">
        <v>2024</v>
      </c>
      <c r="D239" t="s">
        <v>231</v>
      </c>
      <c r="E239" s="16">
        <v>45478</v>
      </c>
      <c r="F239" t="s">
        <v>221</v>
      </c>
      <c r="G239">
        <v>147</v>
      </c>
      <c r="H239">
        <f t="shared" si="22"/>
        <v>186</v>
      </c>
      <c r="I239">
        <v>0</v>
      </c>
      <c r="J239">
        <v>186</v>
      </c>
      <c r="L239">
        <v>0</v>
      </c>
      <c r="O239">
        <v>181</v>
      </c>
      <c r="Q239" s="17">
        <v>143</v>
      </c>
      <c r="R239" s="17">
        <v>148</v>
      </c>
      <c r="S239" s="17">
        <v>808.5</v>
      </c>
      <c r="V239">
        <v>120</v>
      </c>
      <c r="X239">
        <v>400</v>
      </c>
      <c r="AF239" t="e">
        <f>-#REF!</f>
        <v>#REF!</v>
      </c>
      <c r="AP239" t="str">
        <f t="shared" si="23"/>
        <v>Túnel completo + banco-Vol 147</v>
      </c>
    </row>
    <row r="240" spans="1:42" ht="15" customHeight="1" x14ac:dyDescent="0.3">
      <c r="A240" s="30">
        <v>148</v>
      </c>
      <c r="B240" s="12" t="s">
        <v>144</v>
      </c>
      <c r="C240">
        <v>2024</v>
      </c>
      <c r="D240" t="s">
        <v>231</v>
      </c>
      <c r="E240" s="16">
        <v>45478</v>
      </c>
      <c r="F240" t="s">
        <v>221</v>
      </c>
      <c r="G240">
        <v>148</v>
      </c>
      <c r="H240">
        <f t="shared" si="22"/>
        <v>176</v>
      </c>
      <c r="I240">
        <v>0</v>
      </c>
      <c r="J240">
        <v>176</v>
      </c>
      <c r="L240">
        <v>176</v>
      </c>
      <c r="O240">
        <f>Tabla5[[#This Row],[Taladros Simples]]+Tabla5[[#This Row],[Taladros Dobles]]+Tabla5[[#This Row],[Taladros Triples]]</f>
        <v>176</v>
      </c>
      <c r="Q240" s="17">
        <v>80</v>
      </c>
      <c r="R240" s="17">
        <v>257</v>
      </c>
      <c r="S240" s="17">
        <v>761</v>
      </c>
      <c r="V240">
        <v>145</v>
      </c>
      <c r="X240">
        <v>400</v>
      </c>
      <c r="AF240" t="e">
        <f>-#REF!</f>
        <v>#REF!</v>
      </c>
      <c r="AP240" t="str">
        <f t="shared" si="23"/>
        <v>Túnel completo + banco-Vol 148</v>
      </c>
    </row>
    <row r="241" spans="1:42" ht="15" customHeight="1" x14ac:dyDescent="0.3">
      <c r="A241" s="30">
        <v>63</v>
      </c>
      <c r="B241" s="12" t="s">
        <v>199</v>
      </c>
      <c r="C241">
        <v>2024</v>
      </c>
      <c r="D241" t="s">
        <v>231</v>
      </c>
      <c r="E241" s="16">
        <v>45477</v>
      </c>
      <c r="F241" t="s">
        <v>213</v>
      </c>
      <c r="G241">
        <v>63</v>
      </c>
      <c r="H241">
        <f t="shared" si="22"/>
        <v>147</v>
      </c>
      <c r="I241">
        <v>0</v>
      </c>
      <c r="J241">
        <v>147</v>
      </c>
      <c r="L241">
        <v>147</v>
      </c>
      <c r="O241">
        <f>Tabla5[[#This Row],[Taladros Simples]]+Tabla5[[#This Row],[Taladros Dobles]]+Tabla5[[#This Row],[Taladros Triples]]</f>
        <v>147</v>
      </c>
      <c r="Q241" s="17">
        <v>195</v>
      </c>
      <c r="R241" s="17">
        <v>49</v>
      </c>
      <c r="S241" s="17">
        <v>777</v>
      </c>
      <c r="V241">
        <v>0</v>
      </c>
      <c r="X241">
        <v>200</v>
      </c>
      <c r="AF241" t="e">
        <f>-#REF!</f>
        <v>#REF!</v>
      </c>
      <c r="AP241" t="str">
        <f t="shared" si="23"/>
        <v>Galeria 01 - CI-Vol 63</v>
      </c>
    </row>
    <row r="242" spans="1:42" ht="15" customHeight="1" x14ac:dyDescent="0.3">
      <c r="A242" s="30">
        <v>64</v>
      </c>
      <c r="B242" s="12" t="s">
        <v>199</v>
      </c>
      <c r="C242">
        <v>2024</v>
      </c>
      <c r="D242" t="s">
        <v>231</v>
      </c>
      <c r="E242" s="16">
        <v>45478</v>
      </c>
      <c r="F242" t="s">
        <v>213</v>
      </c>
      <c r="G242">
        <v>64</v>
      </c>
      <c r="H242">
        <f t="shared" si="22"/>
        <v>160</v>
      </c>
      <c r="I242">
        <v>0</v>
      </c>
      <c r="J242">
        <v>160</v>
      </c>
      <c r="L242">
        <v>160</v>
      </c>
      <c r="O242">
        <f>Tabla5[[#This Row],[Taladros Simples]]+Tabla5[[#This Row],[Taladros Dobles]]+Tabla5[[#This Row],[Taladros Triples]]</f>
        <v>160</v>
      </c>
      <c r="Q242" s="17">
        <v>0</v>
      </c>
      <c r="R242" s="17">
        <v>0</v>
      </c>
      <c r="S242" s="17">
        <v>900</v>
      </c>
      <c r="X242">
        <v>200</v>
      </c>
      <c r="AF242" t="e">
        <f>-#REF!</f>
        <v>#REF!</v>
      </c>
      <c r="AP242" t="str">
        <f t="shared" si="23"/>
        <v>Galeria 01 - CI-Vol 64</v>
      </c>
    </row>
    <row r="243" spans="1:42" ht="22.5" customHeight="1" x14ac:dyDescent="0.3">
      <c r="A243" s="31">
        <v>65</v>
      </c>
      <c r="B243" s="12" t="s">
        <v>199</v>
      </c>
      <c r="C243">
        <v>2024</v>
      </c>
      <c r="D243" t="s">
        <v>231</v>
      </c>
      <c r="E243" s="16">
        <v>45478</v>
      </c>
      <c r="F243" t="s">
        <v>213</v>
      </c>
      <c r="G243" t="s">
        <v>236</v>
      </c>
      <c r="H243">
        <f t="shared" si="22"/>
        <v>23</v>
      </c>
      <c r="I243">
        <v>0</v>
      </c>
      <c r="J243">
        <v>23</v>
      </c>
      <c r="L243">
        <v>23</v>
      </c>
      <c r="O243">
        <f>Tabla5[[#This Row],[Taladros Simples]]+Tabla5[[#This Row],[Taladros Dobles]]+Tabla5[[#This Row],[Taladros Triples]]</f>
        <v>23</v>
      </c>
      <c r="Q243" s="17">
        <v>0</v>
      </c>
      <c r="R243" s="17">
        <v>0</v>
      </c>
      <c r="S243" s="17">
        <v>86</v>
      </c>
      <c r="X243">
        <v>200</v>
      </c>
      <c r="AF243" t="e">
        <f>-#REF!</f>
        <v>#REF!</v>
      </c>
      <c r="AP243" t="str">
        <f t="shared" si="23"/>
        <v>Galeria 01 - CI-Vol desquinche</v>
      </c>
    </row>
    <row r="244" spans="1:42" ht="15" customHeight="1" x14ac:dyDescent="0.3">
      <c r="A244" s="30">
        <v>149</v>
      </c>
      <c r="B244" s="12" t="s">
        <v>144</v>
      </c>
      <c r="C244">
        <v>2024</v>
      </c>
      <c r="D244" t="s">
        <v>231</v>
      </c>
      <c r="E244" s="16">
        <v>45479</v>
      </c>
      <c r="F244" t="s">
        <v>221</v>
      </c>
      <c r="G244">
        <v>149</v>
      </c>
      <c r="H244">
        <f t="shared" si="22"/>
        <v>187</v>
      </c>
      <c r="I244">
        <f>+Tabla5[[#This Row],[N°TOTAL TALADROS CARGADOS]]</f>
        <v>0</v>
      </c>
      <c r="J244">
        <v>187</v>
      </c>
      <c r="O244">
        <f>Tabla5[[#This Row],[Taladros Simples]]+Tabla5[[#This Row],[Taladros Dobles]]+Tabla5[[#This Row],[Taladros Triples]]</f>
        <v>0</v>
      </c>
      <c r="Q244" s="17">
        <v>151</v>
      </c>
      <c r="R244" s="17">
        <v>230</v>
      </c>
      <c r="S244" s="17">
        <v>780</v>
      </c>
      <c r="V244">
        <v>170</v>
      </c>
      <c r="X244">
        <v>400</v>
      </c>
      <c r="AF244" t="e">
        <f>-#REF!</f>
        <v>#REF!</v>
      </c>
      <c r="AP244" t="str">
        <f t="shared" ref="AP244:AP249" si="24">CONCATENATE(F244,"-","Vol"," ",G244)</f>
        <v>Túnel completo + banco-Vol 149</v>
      </c>
    </row>
    <row r="245" spans="1:42" ht="15" customHeight="1" x14ac:dyDescent="0.3">
      <c r="A245" s="30">
        <v>66</v>
      </c>
      <c r="B245" s="12" t="s">
        <v>199</v>
      </c>
      <c r="C245">
        <v>2024</v>
      </c>
      <c r="D245" t="s">
        <v>231</v>
      </c>
      <c r="E245" s="16">
        <v>45479</v>
      </c>
      <c r="F245" t="s">
        <v>213</v>
      </c>
      <c r="G245">
        <v>66</v>
      </c>
      <c r="H245">
        <f t="shared" si="22"/>
        <v>171</v>
      </c>
      <c r="I245">
        <v>0</v>
      </c>
      <c r="J245">
        <v>171</v>
      </c>
      <c r="L245">
        <v>171</v>
      </c>
      <c r="O245">
        <f>Tabla5[[#This Row],[Taladros Simples]]+Tabla5[[#This Row],[Taladros Dobles]]+Tabla5[[#This Row],[Taladros Triples]]</f>
        <v>171</v>
      </c>
      <c r="Q245" s="17">
        <v>0</v>
      </c>
      <c r="R245" s="17">
        <v>0</v>
      </c>
      <c r="S245" s="17">
        <v>1093</v>
      </c>
      <c r="V245">
        <v>0</v>
      </c>
      <c r="X245">
        <v>200</v>
      </c>
      <c r="AF245" t="e">
        <f>-#REF!</f>
        <v>#REF!</v>
      </c>
      <c r="AP245" t="str">
        <f t="shared" si="24"/>
        <v>Galeria 01 - CI-Vol 66</v>
      </c>
    </row>
    <row r="246" spans="1:42" ht="15" customHeight="1" x14ac:dyDescent="0.3">
      <c r="A246" s="30">
        <v>67</v>
      </c>
      <c r="B246" s="12" t="s">
        <v>199</v>
      </c>
      <c r="C246">
        <v>2024</v>
      </c>
      <c r="D246" t="s">
        <v>231</v>
      </c>
      <c r="E246" s="16">
        <v>45479</v>
      </c>
      <c r="F246" t="s">
        <v>213</v>
      </c>
      <c r="G246">
        <v>67</v>
      </c>
      <c r="H246">
        <f t="shared" si="22"/>
        <v>164</v>
      </c>
      <c r="I246">
        <v>0</v>
      </c>
      <c r="J246">
        <v>164</v>
      </c>
      <c r="L246">
        <v>164</v>
      </c>
      <c r="O246">
        <f>Tabla5[[#This Row],[Taladros Simples]]+Tabla5[[#This Row],[Taladros Dobles]]+Tabla5[[#This Row],[Taladros Triples]]</f>
        <v>164</v>
      </c>
      <c r="Q246" s="17">
        <v>135</v>
      </c>
      <c r="R246" s="17">
        <v>127</v>
      </c>
      <c r="S246" s="17">
        <v>794</v>
      </c>
      <c r="V246">
        <v>66</v>
      </c>
      <c r="X246">
        <v>400</v>
      </c>
      <c r="AF246" t="e">
        <f>-#REF!</f>
        <v>#REF!</v>
      </c>
      <c r="AP246" t="str">
        <f t="shared" si="24"/>
        <v>Galeria 01 - CI-Vol 67</v>
      </c>
    </row>
    <row r="247" spans="1:42" ht="15" customHeight="1" x14ac:dyDescent="0.3">
      <c r="A247" s="30">
        <v>150</v>
      </c>
      <c r="B247" s="12" t="s">
        <v>144</v>
      </c>
      <c r="C247">
        <v>2024</v>
      </c>
      <c r="D247" t="s">
        <v>231</v>
      </c>
      <c r="E247" s="16">
        <v>45479</v>
      </c>
      <c r="F247" t="s">
        <v>221</v>
      </c>
      <c r="G247">
        <v>150</v>
      </c>
      <c r="H247">
        <f t="shared" si="22"/>
        <v>185</v>
      </c>
      <c r="I247">
        <f>+Tabla5[[#This Row],[N°TOTAL TALADROS CARGADOS]]</f>
        <v>0</v>
      </c>
      <c r="J247">
        <v>185</v>
      </c>
      <c r="O247">
        <f>Tabla5[[#This Row],[Taladros Simples]]+Tabla5[[#This Row],[Taladros Dobles]]+Tabla5[[#This Row],[Taladros Triples]]</f>
        <v>0</v>
      </c>
      <c r="Q247" s="17">
        <v>186</v>
      </c>
      <c r="R247" s="17">
        <v>207</v>
      </c>
      <c r="S247" s="17">
        <v>465</v>
      </c>
      <c r="X247">
        <v>400</v>
      </c>
      <c r="AF247" t="e">
        <f>-#REF!</f>
        <v>#REF!</v>
      </c>
      <c r="AP247" t="str">
        <f t="shared" si="24"/>
        <v>Túnel completo + banco-Vol 150</v>
      </c>
    </row>
    <row r="248" spans="1:42" ht="15" customHeight="1" x14ac:dyDescent="0.3">
      <c r="A248" s="30">
        <v>151</v>
      </c>
      <c r="B248" s="12" t="s">
        <v>144</v>
      </c>
      <c r="C248">
        <v>2024</v>
      </c>
      <c r="D248" t="s">
        <v>231</v>
      </c>
      <c r="E248" s="16">
        <v>45480</v>
      </c>
      <c r="F248" t="s">
        <v>221</v>
      </c>
      <c r="G248">
        <v>151</v>
      </c>
      <c r="H248">
        <f t="shared" si="22"/>
        <v>200</v>
      </c>
      <c r="I248">
        <f>+Tabla5[[#This Row],[N°TOTAL TALADROS CARGADOS]]</f>
        <v>0</v>
      </c>
      <c r="J248">
        <v>200</v>
      </c>
      <c r="O248">
        <f>Tabla5[[#This Row],[Taladros Simples]]+Tabla5[[#This Row],[Taladros Dobles]]+Tabla5[[#This Row],[Taladros Triples]]</f>
        <v>0</v>
      </c>
      <c r="Q248" s="17">
        <v>200</v>
      </c>
      <c r="R248" s="17">
        <v>222</v>
      </c>
      <c r="S248" s="17">
        <v>1163</v>
      </c>
      <c r="V248">
        <v>155</v>
      </c>
      <c r="X248">
        <v>400</v>
      </c>
      <c r="AF248" t="e">
        <f>-#REF!</f>
        <v>#REF!</v>
      </c>
      <c r="AP248" t="str">
        <f t="shared" si="24"/>
        <v>Túnel completo + banco-Vol 151</v>
      </c>
    </row>
    <row r="249" spans="1:42" ht="15" customHeight="1" x14ac:dyDescent="0.3">
      <c r="A249" s="30">
        <v>68</v>
      </c>
      <c r="B249" s="12" t="s">
        <v>199</v>
      </c>
      <c r="C249">
        <v>2024</v>
      </c>
      <c r="D249" t="s">
        <v>231</v>
      </c>
      <c r="E249" s="16">
        <v>45480</v>
      </c>
      <c r="F249" t="s">
        <v>213</v>
      </c>
      <c r="G249">
        <v>68</v>
      </c>
      <c r="H249">
        <f t="shared" si="22"/>
        <v>137</v>
      </c>
      <c r="I249">
        <v>0</v>
      </c>
      <c r="J249">
        <v>137</v>
      </c>
      <c r="L249">
        <v>137</v>
      </c>
      <c r="O249">
        <f>Tabla5[[#This Row],[Taladros Simples]]+Tabla5[[#This Row],[Taladros Dobles]]+Tabla5[[#This Row],[Taladros Triples]]</f>
        <v>137</v>
      </c>
      <c r="Q249" s="17">
        <v>0</v>
      </c>
      <c r="R249" s="17">
        <v>120</v>
      </c>
      <c r="S249" s="17">
        <v>1084</v>
      </c>
      <c r="V249">
        <v>108</v>
      </c>
      <c r="X249">
        <v>200</v>
      </c>
      <c r="AF249" t="e">
        <f>-#REF!</f>
        <v>#REF!</v>
      </c>
      <c r="AP249" t="str">
        <f t="shared" si="24"/>
        <v>Galeria 01 - CI-Vol 68</v>
      </c>
    </row>
    <row r="250" spans="1:42" ht="15" customHeight="1" x14ac:dyDescent="0.3">
      <c r="A250" s="30">
        <v>152</v>
      </c>
      <c r="B250" s="12" t="s">
        <v>144</v>
      </c>
      <c r="C250">
        <v>2024</v>
      </c>
      <c r="D250" t="s">
        <v>231</v>
      </c>
      <c r="E250" s="16">
        <v>45480</v>
      </c>
      <c r="F250" t="s">
        <v>221</v>
      </c>
      <c r="G250">
        <v>152</v>
      </c>
      <c r="H250">
        <f t="shared" si="22"/>
        <v>179</v>
      </c>
      <c r="I250">
        <v>0</v>
      </c>
      <c r="J250">
        <v>179</v>
      </c>
      <c r="L250">
        <v>179</v>
      </c>
      <c r="O250">
        <f>Tabla5[[#This Row],[Taladros Simples]]+Tabla5[[#This Row],[Taladros Dobles]]+Tabla5[[#This Row],[Taladros Triples]]</f>
        <v>179</v>
      </c>
      <c r="Q250" s="17">
        <v>178</v>
      </c>
      <c r="R250" s="17">
        <v>178</v>
      </c>
      <c r="S250" s="17">
        <v>1001</v>
      </c>
      <c r="V250">
        <v>170</v>
      </c>
      <c r="X250">
        <v>400</v>
      </c>
      <c r="AF250" t="e">
        <f>-#REF!</f>
        <v>#REF!</v>
      </c>
      <c r="AP250" t="str">
        <f t="shared" ref="AP250:AP255" si="25">CONCATENATE(F250,"-","Vol"," ",G250)</f>
        <v>Túnel completo + banco-Vol 152</v>
      </c>
    </row>
    <row r="251" spans="1:42" ht="15" customHeight="1" x14ac:dyDescent="0.3">
      <c r="A251" s="30">
        <v>153</v>
      </c>
      <c r="B251" s="12" t="s">
        <v>144</v>
      </c>
      <c r="C251">
        <v>2024</v>
      </c>
      <c r="D251" t="s">
        <v>231</v>
      </c>
      <c r="E251" s="16">
        <v>45481</v>
      </c>
      <c r="F251" t="s">
        <v>184</v>
      </c>
      <c r="G251">
        <v>153</v>
      </c>
      <c r="H251">
        <f t="shared" si="22"/>
        <v>175</v>
      </c>
      <c r="I251">
        <f>+Tabla5[[#This Row],[N°TOTAL TALADROS CARGADOS]]</f>
        <v>0</v>
      </c>
      <c r="J251">
        <v>175</v>
      </c>
      <c r="O251">
        <f>Tabla5[[#This Row],[Taladros Simples]]+Tabla5[[#This Row],[Taladros Dobles]]+Tabla5[[#This Row],[Taladros Triples]]</f>
        <v>0</v>
      </c>
      <c r="Q251" s="17">
        <v>193</v>
      </c>
      <c r="R251" s="17">
        <v>173</v>
      </c>
      <c r="S251" s="17">
        <v>985</v>
      </c>
      <c r="V251">
        <v>160</v>
      </c>
      <c r="X251">
        <v>400</v>
      </c>
      <c r="AF251" t="e">
        <f>-#REF!</f>
        <v>#REF!</v>
      </c>
      <c r="AP251" t="str">
        <f t="shared" si="25"/>
        <v>Túnel completo-Vol 153</v>
      </c>
    </row>
    <row r="252" spans="1:42" ht="15" customHeight="1" x14ac:dyDescent="0.3">
      <c r="A252" s="30">
        <v>69</v>
      </c>
      <c r="B252" s="12" t="s">
        <v>199</v>
      </c>
      <c r="C252">
        <v>2024</v>
      </c>
      <c r="D252" t="s">
        <v>231</v>
      </c>
      <c r="E252" s="16">
        <v>45480</v>
      </c>
      <c r="F252" t="s">
        <v>184</v>
      </c>
      <c r="G252">
        <v>69</v>
      </c>
      <c r="H252">
        <f t="shared" si="22"/>
        <v>150</v>
      </c>
      <c r="I252">
        <v>0</v>
      </c>
      <c r="J252">
        <v>150</v>
      </c>
      <c r="L252">
        <v>150</v>
      </c>
      <c r="O252">
        <f>Tabla5[[#This Row],[Taladros Simples]]+Tabla5[[#This Row],[Taladros Dobles]]+Tabla5[[#This Row],[Taladros Triples]]</f>
        <v>150</v>
      </c>
      <c r="X252">
        <v>200</v>
      </c>
      <c r="AF252" t="e">
        <f>-#REF!</f>
        <v>#REF!</v>
      </c>
      <c r="AP252" t="str">
        <f t="shared" si="25"/>
        <v>Túnel completo-Vol 69</v>
      </c>
    </row>
    <row r="253" spans="1:42" ht="15" customHeight="1" x14ac:dyDescent="0.3">
      <c r="A253" s="30">
        <v>70</v>
      </c>
      <c r="B253" s="12" t="s">
        <v>199</v>
      </c>
      <c r="C253">
        <v>2024</v>
      </c>
      <c r="D253" t="s">
        <v>231</v>
      </c>
      <c r="E253" s="16">
        <v>45481</v>
      </c>
      <c r="F253" t="s">
        <v>184</v>
      </c>
      <c r="H253">
        <f t="shared" si="22"/>
        <v>136</v>
      </c>
      <c r="I253">
        <v>0</v>
      </c>
      <c r="J253">
        <v>136</v>
      </c>
      <c r="L253">
        <v>136</v>
      </c>
      <c r="O253">
        <f>Tabla5[[#This Row],[Taladros Simples]]+Tabla5[[#This Row],[Taladros Dobles]]+Tabla5[[#This Row],[Taladros Triples]]</f>
        <v>136</v>
      </c>
      <c r="X253">
        <v>200</v>
      </c>
      <c r="AF253" t="e">
        <f>-#REF!</f>
        <v>#REF!</v>
      </c>
      <c r="AP253" t="str">
        <f t="shared" si="25"/>
        <v xml:space="preserve">Túnel completo-Vol </v>
      </c>
    </row>
    <row r="254" spans="1:42" ht="15" customHeight="1" x14ac:dyDescent="0.3">
      <c r="A254" s="30">
        <v>71</v>
      </c>
      <c r="B254" s="12" t="s">
        <v>199</v>
      </c>
      <c r="C254">
        <v>2024</v>
      </c>
      <c r="D254" t="s">
        <v>231</v>
      </c>
      <c r="E254" s="16">
        <v>45481</v>
      </c>
      <c r="F254" t="s">
        <v>184</v>
      </c>
      <c r="G254">
        <v>71</v>
      </c>
      <c r="H254">
        <f t="shared" si="22"/>
        <v>122</v>
      </c>
      <c r="I254">
        <v>0</v>
      </c>
      <c r="J254">
        <v>122</v>
      </c>
      <c r="L254">
        <v>122</v>
      </c>
      <c r="O254">
        <f>Tabla5[[#This Row],[Taladros Simples]]+Tabla5[[#This Row],[Taladros Dobles]]+Tabla5[[#This Row],[Taladros Triples]]</f>
        <v>122</v>
      </c>
      <c r="X254">
        <v>200</v>
      </c>
      <c r="AF254" t="e">
        <f>-#REF!</f>
        <v>#REF!</v>
      </c>
      <c r="AP254" t="str">
        <f t="shared" si="25"/>
        <v>Túnel completo-Vol 71</v>
      </c>
    </row>
    <row r="255" spans="1:42" ht="15" customHeight="1" x14ac:dyDescent="0.3">
      <c r="A255" s="30">
        <v>154</v>
      </c>
      <c r="B255" s="12" t="s">
        <v>144</v>
      </c>
      <c r="C255">
        <v>2024</v>
      </c>
      <c r="D255" t="s">
        <v>231</v>
      </c>
      <c r="E255" s="16">
        <v>45481</v>
      </c>
      <c r="F255" t="s">
        <v>221</v>
      </c>
      <c r="G255">
        <v>154</v>
      </c>
      <c r="H255">
        <f t="shared" si="22"/>
        <v>182</v>
      </c>
      <c r="I255">
        <f>+Tabla5[[#This Row],[N°TOTAL TALADROS CARGADOS]]</f>
        <v>0</v>
      </c>
      <c r="J255">
        <v>182</v>
      </c>
      <c r="O255">
        <f>Tabla5[[#This Row],[Taladros Simples]]+Tabla5[[#This Row],[Taladros Dobles]]+Tabla5[[#This Row],[Taladros Triples]]</f>
        <v>0</v>
      </c>
      <c r="Q255" s="17">
        <v>198</v>
      </c>
      <c r="R255" s="17">
        <v>160</v>
      </c>
      <c r="S255" s="17">
        <v>1120</v>
      </c>
      <c r="V255">
        <v>146</v>
      </c>
      <c r="X255">
        <v>400</v>
      </c>
      <c r="AF255" t="e">
        <f>-#REF!</f>
        <v>#REF!</v>
      </c>
      <c r="AP255" t="str">
        <f t="shared" si="25"/>
        <v>Túnel completo + banco-Vol 154</v>
      </c>
    </row>
    <row r="256" spans="1:42" ht="15" customHeight="1" x14ac:dyDescent="0.3">
      <c r="A256" s="30">
        <v>72</v>
      </c>
      <c r="B256" s="12" t="s">
        <v>199</v>
      </c>
      <c r="C256">
        <v>2024</v>
      </c>
      <c r="D256" t="s">
        <v>231</v>
      </c>
      <c r="E256" s="16">
        <v>45481</v>
      </c>
      <c r="F256" t="s">
        <v>184</v>
      </c>
      <c r="G256">
        <v>72</v>
      </c>
      <c r="H256">
        <f t="shared" si="22"/>
        <v>162</v>
      </c>
      <c r="I256">
        <v>0</v>
      </c>
      <c r="J256">
        <v>162</v>
      </c>
      <c r="M256">
        <v>135</v>
      </c>
      <c r="O256">
        <f>Tabla5[[#This Row],[Taladros Simples]]+Tabla5[[#This Row],[Taladros Dobles]]+Tabla5[[#This Row],[Taladros Triples]]</f>
        <v>135</v>
      </c>
      <c r="X256">
        <v>200</v>
      </c>
      <c r="AF256" t="e">
        <f>-#REF!</f>
        <v>#REF!</v>
      </c>
      <c r="AP256" t="str">
        <f t="shared" ref="AP256:AP262" si="26">CONCATENATE(F256,"-","Vol"," ",G256)</f>
        <v>Túnel completo-Vol 72</v>
      </c>
    </row>
    <row r="257" spans="1:42" ht="15" customHeight="1" x14ac:dyDescent="0.3">
      <c r="A257" s="30">
        <v>155</v>
      </c>
      <c r="B257" s="12" t="s">
        <v>144</v>
      </c>
      <c r="C257">
        <v>2024</v>
      </c>
      <c r="D257" t="s">
        <v>231</v>
      </c>
      <c r="E257" s="16">
        <v>45482</v>
      </c>
      <c r="F257" t="s">
        <v>221</v>
      </c>
      <c r="G257">
        <v>155</v>
      </c>
      <c r="H257">
        <f t="shared" si="22"/>
        <v>194</v>
      </c>
      <c r="I257">
        <f>+Tabla5[[#This Row],[N°TOTAL TALADROS CARGADOS]]</f>
        <v>0</v>
      </c>
      <c r="J257">
        <v>194</v>
      </c>
      <c r="O257">
        <f>Tabla5[[#This Row],[Taladros Simples]]+Tabla5[[#This Row],[Taladros Dobles]]+Tabla5[[#This Row],[Taladros Triples]]</f>
        <v>0</v>
      </c>
      <c r="Q257" s="17">
        <v>218</v>
      </c>
      <c r="R257" s="17">
        <v>176</v>
      </c>
      <c r="S257" s="17">
        <v>1029</v>
      </c>
      <c r="V257">
        <v>160</v>
      </c>
      <c r="X257">
        <v>400</v>
      </c>
      <c r="AF257" t="e">
        <f>-#REF!</f>
        <v>#REF!</v>
      </c>
      <c r="AP257" t="str">
        <f t="shared" si="26"/>
        <v>Túnel completo + banco-Vol 155</v>
      </c>
    </row>
    <row r="258" spans="1:42" ht="15" customHeight="1" x14ac:dyDescent="0.3">
      <c r="A258" s="30">
        <v>73</v>
      </c>
      <c r="B258" s="12" t="s">
        <v>199</v>
      </c>
      <c r="C258">
        <v>2024</v>
      </c>
      <c r="D258" t="s">
        <v>231</v>
      </c>
      <c r="E258" s="16">
        <v>45482</v>
      </c>
      <c r="F258" t="s">
        <v>184</v>
      </c>
      <c r="G258">
        <v>73</v>
      </c>
      <c r="H258">
        <f t="shared" si="22"/>
        <v>148</v>
      </c>
      <c r="I258">
        <v>0</v>
      </c>
      <c r="J258">
        <v>148</v>
      </c>
      <c r="M258">
        <v>148</v>
      </c>
      <c r="O258">
        <f>Tabla5[[#This Row],[Taladros Simples]]+Tabla5[[#This Row],[Taladros Dobles]]+Tabla5[[#This Row],[Taladros Triples]]</f>
        <v>148</v>
      </c>
      <c r="X258">
        <v>200</v>
      </c>
      <c r="AF258" t="e">
        <f>-#REF!</f>
        <v>#REF!</v>
      </c>
      <c r="AP258" t="str">
        <f t="shared" si="26"/>
        <v>Túnel completo-Vol 73</v>
      </c>
    </row>
    <row r="259" spans="1:42" ht="15" customHeight="1" x14ac:dyDescent="0.3">
      <c r="A259" s="30">
        <v>156</v>
      </c>
      <c r="B259" s="12" t="s">
        <v>144</v>
      </c>
      <c r="C259">
        <v>2024</v>
      </c>
      <c r="D259" t="s">
        <v>231</v>
      </c>
      <c r="E259" s="16">
        <v>45482</v>
      </c>
      <c r="F259" t="s">
        <v>221</v>
      </c>
      <c r="G259">
        <v>156</v>
      </c>
      <c r="H259">
        <f t="shared" si="22"/>
        <v>180</v>
      </c>
      <c r="I259">
        <f>+Tabla5[[#This Row],[N°TOTAL TALADROS CARGADOS]]</f>
        <v>0</v>
      </c>
      <c r="J259">
        <v>180</v>
      </c>
      <c r="O259">
        <f>Tabla5[[#This Row],[Taladros Simples]]+Tabla5[[#This Row],[Taladros Dobles]]+Tabla5[[#This Row],[Taladros Triples]]</f>
        <v>0</v>
      </c>
      <c r="Q259" s="17">
        <v>76</v>
      </c>
      <c r="R259" s="17">
        <v>164</v>
      </c>
      <c r="S259" s="17">
        <v>1170</v>
      </c>
      <c r="V259">
        <v>140</v>
      </c>
      <c r="X259">
        <v>400</v>
      </c>
      <c r="AF259" t="e">
        <f>-#REF!</f>
        <v>#REF!</v>
      </c>
      <c r="AP259" t="str">
        <f t="shared" si="26"/>
        <v>Túnel completo + banco-Vol 156</v>
      </c>
    </row>
    <row r="260" spans="1:42" ht="15" customHeight="1" x14ac:dyDescent="0.3">
      <c r="A260" s="30">
        <v>157</v>
      </c>
      <c r="B260" s="12" t="s">
        <v>144</v>
      </c>
      <c r="C260">
        <v>2024</v>
      </c>
      <c r="D260" t="s">
        <v>231</v>
      </c>
      <c r="E260" s="16">
        <v>45483</v>
      </c>
      <c r="F260" t="s">
        <v>221</v>
      </c>
      <c r="G260">
        <v>157</v>
      </c>
      <c r="H260">
        <f t="shared" si="22"/>
        <v>181</v>
      </c>
      <c r="I260">
        <f>+Tabla5[[#This Row],[N°TOTAL TALADROS CARGADOS]]</f>
        <v>0</v>
      </c>
      <c r="J260">
        <v>181</v>
      </c>
      <c r="O260">
        <f>Tabla5[[#This Row],[Taladros Simples]]+Tabla5[[#This Row],[Taladros Dobles]]+Tabla5[[#This Row],[Taladros Triples]]</f>
        <v>0</v>
      </c>
      <c r="Q260" s="17">
        <v>142.5</v>
      </c>
      <c r="R260" s="17">
        <v>200</v>
      </c>
      <c r="S260" s="17">
        <v>1024</v>
      </c>
      <c r="V260">
        <v>160</v>
      </c>
      <c r="X260">
        <v>400</v>
      </c>
      <c r="AF260" t="e">
        <f>-#REF!</f>
        <v>#REF!</v>
      </c>
      <c r="AP260" t="str">
        <f t="shared" si="26"/>
        <v>Túnel completo + banco-Vol 157</v>
      </c>
    </row>
    <row r="261" spans="1:42" ht="15" customHeight="1" x14ac:dyDescent="0.3">
      <c r="A261" s="30">
        <v>74</v>
      </c>
      <c r="B261" s="12" t="s">
        <v>199</v>
      </c>
      <c r="C261">
        <v>2024</v>
      </c>
      <c r="D261" t="s">
        <v>231</v>
      </c>
      <c r="E261" s="16">
        <v>45483</v>
      </c>
      <c r="F261" t="s">
        <v>184</v>
      </c>
      <c r="H261">
        <f t="shared" si="22"/>
        <v>135</v>
      </c>
      <c r="I261">
        <v>0</v>
      </c>
      <c r="J261">
        <v>135</v>
      </c>
      <c r="M261">
        <v>135</v>
      </c>
      <c r="O261">
        <f>Tabla5[[#This Row],[Taladros Simples]]+Tabla5[[#This Row],[Taladros Dobles]]+Tabla5[[#This Row],[Taladros Triples]]</f>
        <v>135</v>
      </c>
      <c r="X261">
        <v>200</v>
      </c>
      <c r="AF261" t="e">
        <f>-#REF!</f>
        <v>#REF!</v>
      </c>
      <c r="AP261" t="str">
        <f t="shared" si="26"/>
        <v xml:space="preserve">Túnel completo-Vol </v>
      </c>
    </row>
    <row r="262" spans="1:42" ht="15" customHeight="1" x14ac:dyDescent="0.3">
      <c r="A262" s="30">
        <v>75</v>
      </c>
      <c r="B262" s="12" t="s">
        <v>199</v>
      </c>
      <c r="C262">
        <v>2024</v>
      </c>
      <c r="D262" t="s">
        <v>231</v>
      </c>
      <c r="E262" s="16">
        <v>45483</v>
      </c>
      <c r="F262" t="s">
        <v>184</v>
      </c>
      <c r="H262">
        <f t="shared" si="22"/>
        <v>150</v>
      </c>
      <c r="I262">
        <v>0</v>
      </c>
      <c r="J262">
        <v>150</v>
      </c>
      <c r="M262">
        <v>150</v>
      </c>
      <c r="O262">
        <f>Tabla5[[#This Row],[Taladros Simples]]+Tabla5[[#This Row],[Taladros Dobles]]+Tabla5[[#This Row],[Taladros Triples]]</f>
        <v>150</v>
      </c>
      <c r="X262">
        <v>200</v>
      </c>
      <c r="AF262" t="e">
        <f>-#REF!</f>
        <v>#REF!</v>
      </c>
      <c r="AP262" t="str">
        <f t="shared" si="26"/>
        <v xml:space="preserve">Túnel completo-Vol </v>
      </c>
    </row>
    <row r="263" spans="1:42" ht="15" customHeight="1" x14ac:dyDescent="0.3">
      <c r="A263" s="30">
        <v>158</v>
      </c>
      <c r="B263" s="12" t="s">
        <v>144</v>
      </c>
      <c r="C263">
        <v>2024</v>
      </c>
      <c r="D263" t="s">
        <v>231</v>
      </c>
      <c r="E263" s="16">
        <v>45483</v>
      </c>
      <c r="F263" t="s">
        <v>221</v>
      </c>
      <c r="G263">
        <v>158</v>
      </c>
      <c r="H263">
        <f t="shared" si="22"/>
        <v>184</v>
      </c>
      <c r="I263">
        <f>+Tabla5[[#This Row],[N°TOTAL TALADROS CARGADOS]]</f>
        <v>0</v>
      </c>
      <c r="J263">
        <v>184</v>
      </c>
      <c r="O263">
        <f>Tabla5[[#This Row],[Taladros Simples]]+Tabla5[[#This Row],[Taladros Dobles]]+Tabla5[[#This Row],[Taladros Triples]]</f>
        <v>0</v>
      </c>
      <c r="Q263" s="17">
        <v>205</v>
      </c>
      <c r="R263" s="17">
        <v>230</v>
      </c>
      <c r="S263" s="17">
        <v>1207.5</v>
      </c>
      <c r="V263">
        <v>160</v>
      </c>
      <c r="X263">
        <v>400</v>
      </c>
      <c r="AF263" t="e">
        <f>-#REF!</f>
        <v>#REF!</v>
      </c>
      <c r="AP263" t="str">
        <f t="shared" ref="AP263:AP294" si="27">CONCATENATE(F263,"-","Vol"," ",G263)</f>
        <v>Túnel completo + banco-Vol 158</v>
      </c>
    </row>
    <row r="264" spans="1:42" ht="15" customHeight="1" x14ac:dyDescent="0.3">
      <c r="A264" s="30">
        <v>159</v>
      </c>
      <c r="B264" s="12" t="s">
        <v>144</v>
      </c>
      <c r="C264">
        <v>2024</v>
      </c>
      <c r="D264" t="s">
        <v>231</v>
      </c>
      <c r="E264" s="16">
        <v>45484</v>
      </c>
      <c r="F264" t="s">
        <v>221</v>
      </c>
      <c r="G264">
        <v>159</v>
      </c>
      <c r="H264">
        <f t="shared" si="22"/>
        <v>192</v>
      </c>
      <c r="I264">
        <f>+Tabla5[[#This Row],[N°TOTAL TALADROS CARGADOS]]</f>
        <v>0</v>
      </c>
      <c r="J264">
        <v>192</v>
      </c>
      <c r="O264">
        <f>Tabla5[[#This Row],[Taladros Simples]]+Tabla5[[#This Row],[Taladros Dobles]]+Tabla5[[#This Row],[Taladros Triples]]</f>
        <v>0</v>
      </c>
      <c r="Q264" s="17">
        <v>245</v>
      </c>
      <c r="R264" s="17">
        <v>230</v>
      </c>
      <c r="S264" s="17">
        <v>1268</v>
      </c>
      <c r="V264">
        <v>187</v>
      </c>
      <c r="X264">
        <v>400</v>
      </c>
      <c r="AF264" t="e">
        <f>-#REF!</f>
        <v>#REF!</v>
      </c>
      <c r="AP264" t="str">
        <f t="shared" si="27"/>
        <v>Túnel completo + banco-Vol 159</v>
      </c>
    </row>
    <row r="265" spans="1:42" ht="15" customHeight="1" x14ac:dyDescent="0.3">
      <c r="A265" s="30">
        <v>160</v>
      </c>
      <c r="B265" s="12" t="s">
        <v>144</v>
      </c>
      <c r="C265">
        <v>2024</v>
      </c>
      <c r="D265" t="s">
        <v>231</v>
      </c>
      <c r="E265" s="16">
        <v>45484</v>
      </c>
      <c r="F265" t="s">
        <v>221</v>
      </c>
      <c r="G265">
        <v>160</v>
      </c>
      <c r="H265">
        <f t="shared" si="22"/>
        <v>181</v>
      </c>
      <c r="I265">
        <f>+Tabla5[[#This Row],[N°TOTAL TALADROS CARGADOS]]</f>
        <v>0</v>
      </c>
      <c r="J265">
        <v>181</v>
      </c>
      <c r="O265">
        <f>Tabla5[[#This Row],[Taladros Simples]]+Tabla5[[#This Row],[Taladros Dobles]]+Tabla5[[#This Row],[Taladros Triples]]</f>
        <v>0</v>
      </c>
      <c r="Q265" s="17">
        <v>193</v>
      </c>
      <c r="R265" s="17">
        <v>223</v>
      </c>
      <c r="S265" s="17">
        <v>1313</v>
      </c>
      <c r="V265">
        <v>200</v>
      </c>
      <c r="X265">
        <v>400</v>
      </c>
      <c r="AF265" t="e">
        <f>-#REF!</f>
        <v>#REF!</v>
      </c>
      <c r="AP265" t="str">
        <f t="shared" si="27"/>
        <v>Túnel completo + banco-Vol 160</v>
      </c>
    </row>
    <row r="266" spans="1:42" ht="15" customHeight="1" x14ac:dyDescent="0.3">
      <c r="A266" s="30">
        <v>161</v>
      </c>
      <c r="B266" s="12" t="s">
        <v>144</v>
      </c>
      <c r="C266">
        <v>2024</v>
      </c>
      <c r="D266" t="s">
        <v>231</v>
      </c>
      <c r="E266" s="16">
        <v>45485</v>
      </c>
      <c r="F266" t="s">
        <v>221</v>
      </c>
      <c r="G266">
        <v>161</v>
      </c>
      <c r="H266">
        <f t="shared" si="22"/>
        <v>187</v>
      </c>
      <c r="I266">
        <f>+Tabla5[[#This Row],[N°TOTAL TALADROS CARGADOS]]</f>
        <v>0</v>
      </c>
      <c r="J266">
        <v>187</v>
      </c>
      <c r="O266">
        <f>Tabla5[[#This Row],[Taladros Simples]]+Tabla5[[#This Row],[Taladros Dobles]]+Tabla5[[#This Row],[Taladros Triples]]</f>
        <v>0</v>
      </c>
      <c r="Q266" s="17">
        <v>349</v>
      </c>
      <c r="R266" s="17">
        <v>210</v>
      </c>
      <c r="S266" s="17">
        <v>1350</v>
      </c>
      <c r="V266">
        <v>140</v>
      </c>
      <c r="X266">
        <v>400</v>
      </c>
      <c r="AF266" t="e">
        <f>-#REF!</f>
        <v>#REF!</v>
      </c>
      <c r="AP266" t="str">
        <f t="shared" si="27"/>
        <v>Túnel completo + banco-Vol 161</v>
      </c>
    </row>
    <row r="267" spans="1:42" ht="15" customHeight="1" x14ac:dyDescent="0.3">
      <c r="A267" s="30">
        <v>162</v>
      </c>
      <c r="B267" s="12" t="s">
        <v>144</v>
      </c>
      <c r="C267">
        <v>2024</v>
      </c>
      <c r="D267" t="s">
        <v>231</v>
      </c>
      <c r="E267" s="16">
        <v>45485</v>
      </c>
      <c r="F267" t="s">
        <v>184</v>
      </c>
      <c r="G267">
        <v>162</v>
      </c>
      <c r="H267">
        <v>171</v>
      </c>
      <c r="I267">
        <f>+Tabla5[[#This Row],[N°TOTAL TALADROS CARGADOS]]</f>
        <v>0</v>
      </c>
      <c r="K267">
        <v>171</v>
      </c>
      <c r="O267">
        <f>Tabla5[[#This Row],[Taladros Simples]]+Tabla5[[#This Row],[Taladros Dobles]]+Tabla5[[#This Row],[Taladros Triples]]</f>
        <v>0</v>
      </c>
      <c r="Q267" s="17">
        <v>261</v>
      </c>
      <c r="R267" s="17">
        <v>190</v>
      </c>
      <c r="S267" s="17">
        <v>1331</v>
      </c>
      <c r="V267">
        <v>200</v>
      </c>
      <c r="X267">
        <v>200</v>
      </c>
      <c r="AF267" t="e">
        <f>-#REF!</f>
        <v>#REF!</v>
      </c>
      <c r="AP267" t="str">
        <f t="shared" si="27"/>
        <v>Túnel completo-Vol 162</v>
      </c>
    </row>
    <row r="268" spans="1:42" ht="15" customHeight="1" x14ac:dyDescent="0.3">
      <c r="A268" s="30">
        <v>76</v>
      </c>
      <c r="B268" s="12" t="s">
        <v>199</v>
      </c>
      <c r="C268">
        <v>2024</v>
      </c>
      <c r="D268" t="s">
        <v>231</v>
      </c>
      <c r="E268" s="16">
        <v>45484</v>
      </c>
      <c r="F268" t="s">
        <v>184</v>
      </c>
      <c r="G268">
        <v>76</v>
      </c>
      <c r="H268">
        <v>141</v>
      </c>
      <c r="I268">
        <f>+Tabla5[[#This Row],[N°TOTAL TALADROS CARGADOS]]</f>
        <v>0</v>
      </c>
      <c r="J268">
        <v>141</v>
      </c>
      <c r="O268">
        <f>Tabla5[[#This Row],[Taladros Simples]]+Tabla5[[#This Row],[Taladros Dobles]]+Tabla5[[#This Row],[Taladros Triples]]</f>
        <v>0</v>
      </c>
      <c r="X268">
        <v>200</v>
      </c>
      <c r="AF268" t="e">
        <f>-#REF!</f>
        <v>#REF!</v>
      </c>
      <c r="AP268" t="str">
        <f t="shared" si="27"/>
        <v>Túnel completo-Vol 76</v>
      </c>
    </row>
    <row r="269" spans="1:42" ht="15" customHeight="1" x14ac:dyDescent="0.3">
      <c r="A269" s="30">
        <v>77</v>
      </c>
      <c r="B269" s="12" t="s">
        <v>199</v>
      </c>
      <c r="C269">
        <v>2024</v>
      </c>
      <c r="D269" t="s">
        <v>231</v>
      </c>
      <c r="E269" s="16">
        <v>45484</v>
      </c>
      <c r="F269" t="s">
        <v>184</v>
      </c>
      <c r="G269">
        <v>77</v>
      </c>
      <c r="H269">
        <v>135</v>
      </c>
      <c r="I269">
        <f>+Tabla5[[#This Row],[N°TOTAL TALADROS CARGADOS]]</f>
        <v>0</v>
      </c>
      <c r="J269">
        <v>135</v>
      </c>
      <c r="O269">
        <f>Tabla5[[#This Row],[Taladros Simples]]+Tabla5[[#This Row],[Taladros Dobles]]+Tabla5[[#This Row],[Taladros Triples]]</f>
        <v>0</v>
      </c>
      <c r="X269">
        <v>200</v>
      </c>
      <c r="AF269" t="e">
        <f>-#REF!</f>
        <v>#REF!</v>
      </c>
      <c r="AP269" t="str">
        <f t="shared" si="27"/>
        <v>Túnel completo-Vol 77</v>
      </c>
    </row>
    <row r="270" spans="1:42" ht="15" customHeight="1" x14ac:dyDescent="0.3">
      <c r="A270" s="30">
        <v>78</v>
      </c>
      <c r="B270" s="12" t="s">
        <v>199</v>
      </c>
      <c r="C270">
        <v>2024</v>
      </c>
      <c r="D270" t="s">
        <v>231</v>
      </c>
      <c r="E270" s="16">
        <v>45485</v>
      </c>
      <c r="F270" t="s">
        <v>184</v>
      </c>
      <c r="G270">
        <v>78</v>
      </c>
      <c r="H270">
        <v>132</v>
      </c>
      <c r="I270">
        <f>+Tabla5[[#This Row],[N°TOTAL TALADROS CARGADOS]]</f>
        <v>0</v>
      </c>
      <c r="J270">
        <v>132</v>
      </c>
      <c r="O270">
        <f>Tabla5[[#This Row],[Taladros Simples]]+Tabla5[[#This Row],[Taladros Dobles]]+Tabla5[[#This Row],[Taladros Triples]]</f>
        <v>0</v>
      </c>
      <c r="X270">
        <v>200</v>
      </c>
      <c r="AF270" t="e">
        <f>-#REF!</f>
        <v>#REF!</v>
      </c>
      <c r="AP270" t="str">
        <f t="shared" si="27"/>
        <v>Túnel completo-Vol 78</v>
      </c>
    </row>
    <row r="271" spans="1:42" ht="15" customHeight="1" x14ac:dyDescent="0.3">
      <c r="A271" s="30">
        <v>79</v>
      </c>
      <c r="B271" s="12" t="s">
        <v>199</v>
      </c>
      <c r="C271">
        <v>2024</v>
      </c>
      <c r="D271" t="s">
        <v>231</v>
      </c>
      <c r="E271" s="16">
        <v>45485</v>
      </c>
      <c r="F271" t="s">
        <v>184</v>
      </c>
      <c r="G271">
        <v>79</v>
      </c>
      <c r="H271">
        <f>K271</f>
        <v>111</v>
      </c>
      <c r="I271">
        <f>+Tabla5[[#This Row],[N°TOTAL TALADROS CARGADOS]]</f>
        <v>0</v>
      </c>
      <c r="K271">
        <v>111</v>
      </c>
      <c r="O271">
        <f>Tabla5[[#This Row],[Taladros Simples]]+Tabla5[[#This Row],[Taladros Dobles]]+Tabla5[[#This Row],[Taladros Triples]]</f>
        <v>0</v>
      </c>
      <c r="X271">
        <v>200</v>
      </c>
      <c r="AF271" t="e">
        <f>-#REF!</f>
        <v>#REF!</v>
      </c>
      <c r="AP271" t="str">
        <f t="shared" si="27"/>
        <v>Túnel completo-Vol 79</v>
      </c>
    </row>
    <row r="272" spans="1:42" ht="15" customHeight="1" x14ac:dyDescent="0.3">
      <c r="A272" s="30">
        <v>80</v>
      </c>
      <c r="B272" s="12" t="s">
        <v>199</v>
      </c>
      <c r="C272">
        <v>2024</v>
      </c>
      <c r="D272" t="s">
        <v>231</v>
      </c>
      <c r="E272" s="16">
        <v>45486</v>
      </c>
      <c r="F272" t="s">
        <v>184</v>
      </c>
      <c r="G272">
        <v>80</v>
      </c>
      <c r="H272">
        <f t="shared" ref="H272:H287" si="28">K272</f>
        <v>141</v>
      </c>
      <c r="I272">
        <f>+Tabla5[[#This Row],[N°TOTAL TALADROS CARGADOS]]</f>
        <v>0</v>
      </c>
      <c r="K272">
        <v>141</v>
      </c>
      <c r="O272">
        <f>Tabla5[[#This Row],[Taladros Simples]]+Tabla5[[#This Row],[Taladros Dobles]]+Tabla5[[#This Row],[Taladros Triples]]</f>
        <v>0</v>
      </c>
      <c r="X272">
        <v>400</v>
      </c>
      <c r="AF272" t="e">
        <f>-#REF!</f>
        <v>#REF!</v>
      </c>
      <c r="AP272" t="str">
        <f t="shared" si="27"/>
        <v>Túnel completo-Vol 80</v>
      </c>
    </row>
    <row r="273" spans="1:42" ht="15" customHeight="1" x14ac:dyDescent="0.3">
      <c r="A273" s="30">
        <v>163</v>
      </c>
      <c r="B273" s="12" t="s">
        <v>144</v>
      </c>
      <c r="C273">
        <v>2024</v>
      </c>
      <c r="D273" t="s">
        <v>231</v>
      </c>
      <c r="E273" s="16">
        <v>45486</v>
      </c>
      <c r="F273" t="s">
        <v>184</v>
      </c>
      <c r="G273">
        <v>163</v>
      </c>
      <c r="H273">
        <f t="shared" si="28"/>
        <v>177</v>
      </c>
      <c r="I273">
        <f>+Tabla5[[#This Row],[N°TOTAL TALADROS CARGADOS]]</f>
        <v>0</v>
      </c>
      <c r="K273">
        <v>177</v>
      </c>
      <c r="O273">
        <f>Tabla5[[#This Row],[Taladros Simples]]+Tabla5[[#This Row],[Taladros Dobles]]+Tabla5[[#This Row],[Taladros Triples]]</f>
        <v>0</v>
      </c>
      <c r="Q273" s="17">
        <v>344</v>
      </c>
      <c r="R273" s="17">
        <v>209</v>
      </c>
      <c r="S273" s="17">
        <v>1350</v>
      </c>
      <c r="X273">
        <v>400</v>
      </c>
      <c r="AF273" t="e">
        <f>-#REF!</f>
        <v>#REF!</v>
      </c>
      <c r="AP273" t="str">
        <f t="shared" si="27"/>
        <v>Túnel completo-Vol 163</v>
      </c>
    </row>
    <row r="274" spans="1:42" ht="15" customHeight="1" x14ac:dyDescent="0.3">
      <c r="A274" s="30">
        <v>81</v>
      </c>
      <c r="B274" s="12" t="s">
        <v>199</v>
      </c>
      <c r="C274">
        <v>2024</v>
      </c>
      <c r="D274" t="s">
        <v>231</v>
      </c>
      <c r="E274" s="16">
        <v>45486</v>
      </c>
      <c r="F274" t="s">
        <v>184</v>
      </c>
      <c r="G274">
        <v>81</v>
      </c>
      <c r="H274">
        <f t="shared" si="28"/>
        <v>155</v>
      </c>
      <c r="I274">
        <f>+Tabla5[[#This Row],[N°TOTAL TALADROS CARGADOS]]</f>
        <v>0</v>
      </c>
      <c r="K274">
        <v>155</v>
      </c>
      <c r="O274">
        <f>Tabla5[[#This Row],[Taladros Simples]]+Tabla5[[#This Row],[Taladros Dobles]]+Tabla5[[#This Row],[Taladros Triples]]</f>
        <v>0</v>
      </c>
      <c r="X274">
        <v>600</v>
      </c>
      <c r="AF274" t="e">
        <f>-#REF!</f>
        <v>#REF!</v>
      </c>
      <c r="AP274" t="str">
        <f t="shared" si="27"/>
        <v>Túnel completo-Vol 81</v>
      </c>
    </row>
    <row r="275" spans="1:42" ht="15" customHeight="1" x14ac:dyDescent="0.3">
      <c r="A275" s="30">
        <v>164</v>
      </c>
      <c r="B275" s="12" t="s">
        <v>144</v>
      </c>
      <c r="C275">
        <v>2024</v>
      </c>
      <c r="D275" t="s">
        <v>231</v>
      </c>
      <c r="E275" s="16">
        <v>45486</v>
      </c>
      <c r="F275" t="s">
        <v>237</v>
      </c>
      <c r="G275">
        <v>164</v>
      </c>
      <c r="H275">
        <f t="shared" si="28"/>
        <v>205</v>
      </c>
      <c r="I275">
        <v>0</v>
      </c>
      <c r="K275">
        <v>205</v>
      </c>
      <c r="L275">
        <v>205</v>
      </c>
      <c r="O275">
        <v>205</v>
      </c>
      <c r="Q275" s="17">
        <v>363</v>
      </c>
      <c r="R275" s="17">
        <v>180</v>
      </c>
      <c r="S275" s="17">
        <v>1369</v>
      </c>
      <c r="V275">
        <v>149</v>
      </c>
      <c r="X275">
        <v>400</v>
      </c>
      <c r="AF275" t="e">
        <f>-#REF!</f>
        <v>#REF!</v>
      </c>
      <c r="AP275" t="str">
        <f t="shared" si="27"/>
        <v>Tunel + banco-Vol 164</v>
      </c>
    </row>
    <row r="276" spans="1:42" ht="15" customHeight="1" x14ac:dyDescent="0.3">
      <c r="A276" s="30">
        <v>165</v>
      </c>
      <c r="B276" s="12" t="s">
        <v>144</v>
      </c>
      <c r="C276">
        <v>2024</v>
      </c>
      <c r="D276" t="s">
        <v>238</v>
      </c>
      <c r="E276" s="16">
        <v>45487</v>
      </c>
      <c r="F276" t="s">
        <v>237</v>
      </c>
      <c r="G276">
        <v>165</v>
      </c>
      <c r="H276">
        <f t="shared" si="28"/>
        <v>186</v>
      </c>
      <c r="I276">
        <v>0</v>
      </c>
      <c r="K276">
        <v>186</v>
      </c>
      <c r="L276">
        <v>186</v>
      </c>
      <c r="O276">
        <f>Tabla5[[#This Row],[Taladros Simples]]+Tabla5[[#This Row],[Taladros Dobles]]+Tabla5[[#This Row],[Taladros Triples]]</f>
        <v>186</v>
      </c>
      <c r="Q276" s="17">
        <v>335</v>
      </c>
      <c r="R276" s="17">
        <v>209</v>
      </c>
      <c r="S276" s="17">
        <v>1392</v>
      </c>
      <c r="V276">
        <v>180</v>
      </c>
      <c r="X276">
        <v>400</v>
      </c>
      <c r="AF276" t="e">
        <f>-#REF!</f>
        <v>#REF!</v>
      </c>
      <c r="AP276" t="str">
        <f t="shared" si="27"/>
        <v>Tunel + banco-Vol 165</v>
      </c>
    </row>
    <row r="277" spans="1:42" ht="15" customHeight="1" x14ac:dyDescent="0.3">
      <c r="A277" s="30">
        <v>82</v>
      </c>
      <c r="B277" s="12" t="s">
        <v>199</v>
      </c>
      <c r="C277">
        <v>2024</v>
      </c>
      <c r="D277" t="s">
        <v>231</v>
      </c>
      <c r="E277" s="16">
        <v>45487</v>
      </c>
      <c r="F277" t="s">
        <v>184</v>
      </c>
      <c r="G277">
        <v>82</v>
      </c>
      <c r="H277">
        <f t="shared" si="28"/>
        <v>147</v>
      </c>
      <c r="I277">
        <v>0</v>
      </c>
      <c r="K277">
        <v>147</v>
      </c>
      <c r="L277">
        <v>147</v>
      </c>
      <c r="O277">
        <f>Tabla5[[#This Row],[Taladros Simples]]+Tabla5[[#This Row],[Taladros Dobles]]+Tabla5[[#This Row],[Taladros Triples]]</f>
        <v>147</v>
      </c>
      <c r="X277">
        <v>200</v>
      </c>
      <c r="AF277" t="e">
        <f>-#REF!</f>
        <v>#REF!</v>
      </c>
      <c r="AP277" t="str">
        <f t="shared" si="27"/>
        <v>Túnel completo-Vol 82</v>
      </c>
    </row>
    <row r="278" spans="1:42" ht="15" customHeight="1" x14ac:dyDescent="0.3">
      <c r="A278" s="30">
        <v>166</v>
      </c>
      <c r="B278" s="12" t="s">
        <v>144</v>
      </c>
      <c r="C278">
        <v>2024</v>
      </c>
      <c r="D278" t="s">
        <v>231</v>
      </c>
      <c r="E278" s="16">
        <v>45488</v>
      </c>
      <c r="F278" t="s">
        <v>184</v>
      </c>
      <c r="G278">
        <v>166</v>
      </c>
      <c r="H278">
        <f t="shared" si="28"/>
        <v>171</v>
      </c>
      <c r="I278">
        <v>0</v>
      </c>
      <c r="K278">
        <v>171</v>
      </c>
      <c r="L278">
        <v>171</v>
      </c>
      <c r="O278">
        <f>Tabla5[[#This Row],[Taladros Simples]]+Tabla5[[#This Row],[Taladros Dobles]]+Tabla5[[#This Row],[Taladros Triples]]</f>
        <v>171</v>
      </c>
      <c r="Q278" s="17">
        <v>315</v>
      </c>
      <c r="R278" s="17">
        <v>193</v>
      </c>
      <c r="S278" s="17" t="s">
        <v>239</v>
      </c>
      <c r="V278">
        <v>178</v>
      </c>
      <c r="X278">
        <v>200</v>
      </c>
      <c r="AF278" t="e">
        <f>-#REF!</f>
        <v>#REF!</v>
      </c>
      <c r="AP278" t="str">
        <f t="shared" si="27"/>
        <v>Túnel completo-Vol 166</v>
      </c>
    </row>
    <row r="279" spans="1:42" ht="15" customHeight="1" x14ac:dyDescent="0.3">
      <c r="A279" s="30">
        <v>167</v>
      </c>
      <c r="B279" s="12" t="s">
        <v>144</v>
      </c>
      <c r="C279">
        <v>2024</v>
      </c>
      <c r="D279" t="s">
        <v>231</v>
      </c>
      <c r="E279" s="16">
        <v>45489</v>
      </c>
      <c r="F279" t="s">
        <v>221</v>
      </c>
      <c r="G279">
        <v>167</v>
      </c>
      <c r="H279">
        <f t="shared" si="28"/>
        <v>196</v>
      </c>
      <c r="I279">
        <v>0</v>
      </c>
      <c r="K279">
        <v>196</v>
      </c>
      <c r="L279">
        <v>196</v>
      </c>
      <c r="O279">
        <f>Tabla5[[#This Row],[Taladros Simples]]+Tabla5[[#This Row],[Taladros Dobles]]+Tabla5[[#This Row],[Taladros Triples]]</f>
        <v>196</v>
      </c>
      <c r="Q279" s="17">
        <v>208</v>
      </c>
      <c r="R279" s="17">
        <v>179</v>
      </c>
      <c r="S279" s="17" t="s">
        <v>240</v>
      </c>
      <c r="V279">
        <v>162</v>
      </c>
      <c r="X279">
        <v>400</v>
      </c>
      <c r="AF279" t="e">
        <f>-#REF!</f>
        <v>#REF!</v>
      </c>
      <c r="AP279" t="str">
        <f t="shared" si="27"/>
        <v>Túnel completo + banco-Vol 167</v>
      </c>
    </row>
    <row r="280" spans="1:42" ht="15" customHeight="1" x14ac:dyDescent="0.3">
      <c r="A280" s="30">
        <v>168</v>
      </c>
      <c r="B280" s="12" t="s">
        <v>144</v>
      </c>
      <c r="C280">
        <v>2024</v>
      </c>
      <c r="D280" t="s">
        <v>231</v>
      </c>
      <c r="E280" s="16">
        <v>45489</v>
      </c>
      <c r="F280" t="s">
        <v>184</v>
      </c>
      <c r="G280">
        <v>168</v>
      </c>
      <c r="H280">
        <f t="shared" si="28"/>
        <v>178</v>
      </c>
      <c r="I280">
        <v>0</v>
      </c>
      <c r="K280">
        <v>178</v>
      </c>
      <c r="L280">
        <v>178</v>
      </c>
      <c r="O280">
        <f>Tabla5[[#This Row],[Taladros Simples]]+Tabla5[[#This Row],[Taladros Dobles]]+Tabla5[[#This Row],[Taladros Triples]]</f>
        <v>178</v>
      </c>
      <c r="Q280" s="17">
        <v>206</v>
      </c>
      <c r="R280" s="17">
        <v>215</v>
      </c>
      <c r="S280" s="17">
        <v>1432</v>
      </c>
      <c r="V280">
        <v>184</v>
      </c>
      <c r="X280">
        <v>400</v>
      </c>
      <c r="AF280" t="e">
        <f>-#REF!</f>
        <v>#REF!</v>
      </c>
      <c r="AP280" t="str">
        <f t="shared" si="27"/>
        <v>Túnel completo-Vol 168</v>
      </c>
    </row>
    <row r="281" spans="1:42" ht="15" customHeight="1" x14ac:dyDescent="0.3">
      <c r="A281" s="30">
        <v>83</v>
      </c>
      <c r="B281" s="12" t="s">
        <v>199</v>
      </c>
      <c r="C281">
        <v>2024</v>
      </c>
      <c r="D281" t="s">
        <v>231</v>
      </c>
      <c r="E281" s="16">
        <v>45489</v>
      </c>
      <c r="F281" t="s">
        <v>184</v>
      </c>
      <c r="G281">
        <v>83</v>
      </c>
      <c r="H281">
        <f t="shared" si="28"/>
        <v>153</v>
      </c>
      <c r="I281">
        <v>0</v>
      </c>
      <c r="K281">
        <v>153</v>
      </c>
      <c r="L281">
        <v>153</v>
      </c>
      <c r="O281">
        <f>Tabla5[[#This Row],[Taladros Simples]]+Tabla5[[#This Row],[Taladros Dobles]]+Tabla5[[#This Row],[Taladros Triples]]</f>
        <v>153</v>
      </c>
      <c r="Q281" s="17">
        <v>0</v>
      </c>
      <c r="R281" s="17">
        <v>268</v>
      </c>
      <c r="S281" s="17">
        <v>1067</v>
      </c>
      <c r="V281">
        <v>90</v>
      </c>
      <c r="X281">
        <v>400</v>
      </c>
      <c r="AF281" t="e">
        <f>-#REF!</f>
        <v>#REF!</v>
      </c>
      <c r="AP281" t="str">
        <f t="shared" si="27"/>
        <v>Túnel completo-Vol 83</v>
      </c>
    </row>
    <row r="282" spans="1:42" ht="15" customHeight="1" x14ac:dyDescent="0.3">
      <c r="A282" s="30">
        <v>84</v>
      </c>
      <c r="B282" s="12" t="s">
        <v>199</v>
      </c>
      <c r="C282">
        <v>2024</v>
      </c>
      <c r="D282" t="s">
        <v>241</v>
      </c>
      <c r="E282" s="16">
        <v>45490</v>
      </c>
      <c r="F282" t="s">
        <v>184</v>
      </c>
      <c r="G282">
        <v>84</v>
      </c>
      <c r="H282">
        <f t="shared" si="28"/>
        <v>133</v>
      </c>
      <c r="I282">
        <v>0</v>
      </c>
      <c r="K282">
        <v>133</v>
      </c>
      <c r="L282">
        <v>133</v>
      </c>
      <c r="O282">
        <f>Tabla5[[#This Row],[Taladros Simples]]+Tabla5[[#This Row],[Taladros Dobles]]+Tabla5[[#This Row],[Taladros Triples]]</f>
        <v>133</v>
      </c>
      <c r="R282" s="17">
        <v>144</v>
      </c>
      <c r="S282" s="17">
        <v>1234</v>
      </c>
      <c r="V282">
        <v>160</v>
      </c>
      <c r="X282">
        <v>400</v>
      </c>
      <c r="AF282" t="e">
        <f>-#REF!</f>
        <v>#REF!</v>
      </c>
      <c r="AP282" t="str">
        <f t="shared" si="27"/>
        <v>Túnel completo-Vol 84</v>
      </c>
    </row>
    <row r="283" spans="1:42" ht="15" customHeight="1" x14ac:dyDescent="0.3">
      <c r="A283" s="30">
        <v>169</v>
      </c>
      <c r="B283" s="12" t="s">
        <v>144</v>
      </c>
      <c r="C283">
        <v>2024</v>
      </c>
      <c r="D283" t="s">
        <v>241</v>
      </c>
      <c r="E283" s="16">
        <v>45490</v>
      </c>
      <c r="F283" t="s">
        <v>237</v>
      </c>
      <c r="G283">
        <v>169</v>
      </c>
      <c r="H283">
        <f t="shared" si="28"/>
        <v>164</v>
      </c>
      <c r="I283">
        <v>0</v>
      </c>
      <c r="K283">
        <v>164</v>
      </c>
      <c r="L283">
        <v>164</v>
      </c>
      <c r="O283">
        <f>Tabla5[[#This Row],[Taladros Simples]]+Tabla5[[#This Row],[Taladros Dobles]]+Tabla5[[#This Row],[Taladros Triples]]</f>
        <v>164</v>
      </c>
      <c r="Q283" s="17">
        <v>0</v>
      </c>
      <c r="R283" s="17">
        <v>218</v>
      </c>
      <c r="S283" s="17">
        <v>1235.5</v>
      </c>
      <c r="V283">
        <v>100</v>
      </c>
      <c r="X283">
        <v>400</v>
      </c>
      <c r="AF283" t="e">
        <f>-#REF!</f>
        <v>#REF!</v>
      </c>
      <c r="AP283" t="str">
        <f t="shared" si="27"/>
        <v>Tunel + banco-Vol 169</v>
      </c>
    </row>
    <row r="284" spans="1:42" ht="15" customHeight="1" x14ac:dyDescent="0.3">
      <c r="A284" s="30">
        <v>170</v>
      </c>
      <c r="B284" s="12" t="s">
        <v>144</v>
      </c>
      <c r="C284">
        <v>2024</v>
      </c>
      <c r="D284" t="s">
        <v>241</v>
      </c>
      <c r="E284" s="16">
        <v>45490</v>
      </c>
      <c r="F284" t="s">
        <v>237</v>
      </c>
      <c r="G284">
        <v>170</v>
      </c>
      <c r="H284">
        <f t="shared" si="28"/>
        <v>186</v>
      </c>
      <c r="I284">
        <v>0</v>
      </c>
      <c r="K284">
        <v>186</v>
      </c>
      <c r="L284">
        <v>186</v>
      </c>
      <c r="O284">
        <f>Tabla5[[#This Row],[Taladros Simples]]+Tabla5[[#This Row],[Taladros Dobles]]+Tabla5[[#This Row],[Taladros Triples]]</f>
        <v>186</v>
      </c>
      <c r="Q284" s="17">
        <v>0</v>
      </c>
      <c r="R284" s="17">
        <v>225</v>
      </c>
      <c r="S284" s="17" t="s">
        <v>242</v>
      </c>
      <c r="V284">
        <v>10</v>
      </c>
      <c r="X284">
        <v>400</v>
      </c>
      <c r="AF284" t="e">
        <f>-#REF!</f>
        <v>#REF!</v>
      </c>
      <c r="AP284" t="str">
        <f t="shared" si="27"/>
        <v>Tunel + banco-Vol 170</v>
      </c>
    </row>
    <row r="285" spans="1:42" ht="15" customHeight="1" x14ac:dyDescent="0.3">
      <c r="A285" s="30">
        <v>85</v>
      </c>
      <c r="B285" s="12" t="s">
        <v>199</v>
      </c>
      <c r="C285">
        <v>2024</v>
      </c>
      <c r="D285" t="s">
        <v>231</v>
      </c>
      <c r="E285" s="16">
        <v>45490</v>
      </c>
      <c r="F285" t="s">
        <v>184</v>
      </c>
      <c r="G285">
        <v>85</v>
      </c>
      <c r="H285">
        <f t="shared" si="28"/>
        <v>142</v>
      </c>
      <c r="I285">
        <v>0</v>
      </c>
      <c r="K285">
        <v>142</v>
      </c>
      <c r="L285">
        <v>142</v>
      </c>
      <c r="O285">
        <f>Tabla5[[#This Row],[Taladros Simples]]+Tabla5[[#This Row],[Taladros Dobles]]+Tabla5[[#This Row],[Taladros Triples]]</f>
        <v>142</v>
      </c>
      <c r="Q285" s="17">
        <v>0</v>
      </c>
      <c r="R285" s="17">
        <v>229</v>
      </c>
      <c r="S285" s="17">
        <v>1166</v>
      </c>
      <c r="V285">
        <v>100</v>
      </c>
      <c r="X285">
        <v>400</v>
      </c>
      <c r="AF285" t="e">
        <f>-#REF!</f>
        <v>#REF!</v>
      </c>
      <c r="AP285" t="str">
        <f t="shared" si="27"/>
        <v>Túnel completo-Vol 85</v>
      </c>
    </row>
    <row r="286" spans="1:42" ht="15" customHeight="1" x14ac:dyDescent="0.3">
      <c r="A286" s="30">
        <v>171</v>
      </c>
      <c r="B286" s="12" t="s">
        <v>144</v>
      </c>
      <c r="C286">
        <v>2024</v>
      </c>
      <c r="D286" t="s">
        <v>241</v>
      </c>
      <c r="E286" s="16">
        <v>45491</v>
      </c>
      <c r="F286" t="s">
        <v>237</v>
      </c>
      <c r="G286">
        <v>171</v>
      </c>
      <c r="H286">
        <f t="shared" si="28"/>
        <v>180</v>
      </c>
      <c r="I286">
        <v>0</v>
      </c>
      <c r="K286">
        <v>180</v>
      </c>
      <c r="L286">
        <v>180</v>
      </c>
      <c r="O286">
        <f>Tabla5[[#This Row],[Taladros Simples]]+Tabla5[[#This Row],[Taladros Dobles]]+Tabla5[[#This Row],[Taladros Triples]]</f>
        <v>180</v>
      </c>
      <c r="Q286" s="17">
        <v>0</v>
      </c>
      <c r="R286" s="17">
        <v>212</v>
      </c>
      <c r="S286" s="17">
        <v>1623</v>
      </c>
      <c r="V286">
        <v>117</v>
      </c>
      <c r="X286">
        <v>400</v>
      </c>
      <c r="AF286" t="e">
        <f>-#REF!</f>
        <v>#REF!</v>
      </c>
      <c r="AP286" t="str">
        <f t="shared" si="27"/>
        <v>Tunel + banco-Vol 171</v>
      </c>
    </row>
    <row r="287" spans="1:42" ht="15" customHeight="1" x14ac:dyDescent="0.3">
      <c r="A287" s="30">
        <v>86</v>
      </c>
      <c r="B287" s="12" t="s">
        <v>199</v>
      </c>
      <c r="C287">
        <v>2024</v>
      </c>
      <c r="D287" t="s">
        <v>231</v>
      </c>
      <c r="E287" s="16">
        <v>45491</v>
      </c>
      <c r="F287" t="s">
        <v>184</v>
      </c>
      <c r="G287">
        <v>86</v>
      </c>
      <c r="H287">
        <f t="shared" si="28"/>
        <v>179</v>
      </c>
      <c r="I287">
        <v>0</v>
      </c>
      <c r="K287">
        <v>179</v>
      </c>
      <c r="L287">
        <v>179</v>
      </c>
      <c r="O287">
        <f>Tabla5[[#This Row],[Taladros Simples]]+Tabla5[[#This Row],[Taladros Dobles]]+Tabla5[[#This Row],[Taladros Triples]]</f>
        <v>179</v>
      </c>
      <c r="R287" s="17">
        <v>173</v>
      </c>
      <c r="S287" s="17">
        <v>1329</v>
      </c>
      <c r="V287">
        <v>170</v>
      </c>
      <c r="X287">
        <v>400</v>
      </c>
      <c r="AF287" t="e">
        <f>-#REF!</f>
        <v>#REF!</v>
      </c>
      <c r="AP287" t="str">
        <f t="shared" si="27"/>
        <v>Túnel completo-Vol 86</v>
      </c>
    </row>
    <row r="288" spans="1:42" ht="15" customHeight="1" x14ac:dyDescent="0.3">
      <c r="A288" s="30">
        <v>172</v>
      </c>
      <c r="B288" s="12" t="s">
        <v>144</v>
      </c>
      <c r="C288">
        <v>2024</v>
      </c>
      <c r="D288" t="s">
        <v>231</v>
      </c>
      <c r="E288" s="16">
        <v>45491</v>
      </c>
      <c r="F288" t="s">
        <v>221</v>
      </c>
      <c r="G288">
        <v>172</v>
      </c>
      <c r="H288">
        <f t="shared" ref="H288:H347" si="29">I288</f>
        <v>194</v>
      </c>
      <c r="I288">
        <f>+Tabla5[[#This Row],[N°TOTAL TALADROS CARGADOS]]</f>
        <v>194</v>
      </c>
      <c r="K288">
        <v>0</v>
      </c>
      <c r="L288">
        <v>194</v>
      </c>
      <c r="O288">
        <f>Tabla5[[#This Row],[Taladros Simples]]+Tabla5[[#This Row],[Taladros Dobles]]+Tabla5[[#This Row],[Taladros Triples]]</f>
        <v>194</v>
      </c>
      <c r="R288" s="17">
        <v>384</v>
      </c>
      <c r="S288" s="17">
        <v>1692</v>
      </c>
      <c r="V288">
        <v>175</v>
      </c>
      <c r="W288">
        <v>400</v>
      </c>
      <c r="AF288" t="e">
        <f>-#REF!</f>
        <v>#REF!</v>
      </c>
      <c r="AP288" t="str">
        <f t="shared" si="27"/>
        <v>Túnel completo + banco-Vol 172</v>
      </c>
    </row>
    <row r="289" spans="1:43" ht="15" customHeight="1" x14ac:dyDescent="0.3">
      <c r="A289" s="30">
        <v>87</v>
      </c>
      <c r="B289" s="12" t="s">
        <v>199</v>
      </c>
      <c r="C289">
        <v>2024</v>
      </c>
      <c r="D289" t="s">
        <v>231</v>
      </c>
      <c r="E289" s="16">
        <v>45491</v>
      </c>
      <c r="F289" t="s">
        <v>184</v>
      </c>
      <c r="G289">
        <v>148</v>
      </c>
      <c r="H289">
        <v>148</v>
      </c>
      <c r="I289">
        <v>0</v>
      </c>
      <c r="K289">
        <v>148</v>
      </c>
      <c r="L289">
        <v>148</v>
      </c>
      <c r="O289">
        <f>Tabla5[[#This Row],[Taladros Simples]]+Tabla5[[#This Row],[Taladros Dobles]]+Tabla5[[#This Row],[Taladros Triples]]</f>
        <v>148</v>
      </c>
      <c r="R289" s="17">
        <v>148</v>
      </c>
      <c r="S289" s="17">
        <v>1171</v>
      </c>
      <c r="T289">
        <v>0</v>
      </c>
      <c r="V289">
        <v>90</v>
      </c>
      <c r="W289">
        <v>0</v>
      </c>
      <c r="X289">
        <v>200</v>
      </c>
      <c r="AF289" t="e">
        <f>-#REF!</f>
        <v>#REF!</v>
      </c>
      <c r="AP289" t="str">
        <f t="shared" si="27"/>
        <v>Túnel completo-Vol 148</v>
      </c>
    </row>
    <row r="290" spans="1:43" ht="15" customHeight="1" x14ac:dyDescent="0.3">
      <c r="A290" s="30">
        <v>173</v>
      </c>
      <c r="B290" s="12" t="s">
        <v>144</v>
      </c>
      <c r="C290">
        <v>2024</v>
      </c>
      <c r="D290" t="s">
        <v>241</v>
      </c>
      <c r="E290" s="16">
        <v>45492</v>
      </c>
      <c r="F290" t="s">
        <v>221</v>
      </c>
      <c r="G290">
        <v>173</v>
      </c>
      <c r="H290">
        <f t="shared" si="29"/>
        <v>173</v>
      </c>
      <c r="I290">
        <f>+Tabla5[[#This Row],[N°TOTAL TALADROS CARGADOS]]</f>
        <v>173</v>
      </c>
      <c r="K290">
        <v>0</v>
      </c>
      <c r="L290">
        <v>173</v>
      </c>
      <c r="O290">
        <f>Tabla5[[#This Row],[Taladros Simples]]+Tabla5[[#This Row],[Taladros Dobles]]+Tabla5[[#This Row],[Taladros Triples]]</f>
        <v>173</v>
      </c>
      <c r="R290" s="17">
        <v>230</v>
      </c>
      <c r="S290" s="17">
        <v>1671.5</v>
      </c>
      <c r="V290">
        <v>143</v>
      </c>
      <c r="W290">
        <v>400</v>
      </c>
      <c r="AF290" t="e">
        <f>-#REF!</f>
        <v>#REF!</v>
      </c>
      <c r="AP290" t="str">
        <f t="shared" si="27"/>
        <v>Túnel completo + banco-Vol 173</v>
      </c>
    </row>
    <row r="291" spans="1:43" ht="15" customHeight="1" x14ac:dyDescent="0.3">
      <c r="A291" s="30">
        <v>88</v>
      </c>
      <c r="B291" s="12" t="s">
        <v>199</v>
      </c>
      <c r="C291">
        <v>2024</v>
      </c>
      <c r="D291" t="s">
        <v>231</v>
      </c>
      <c r="E291" s="16">
        <v>45492</v>
      </c>
      <c r="F291" t="s">
        <v>184</v>
      </c>
      <c r="G291">
        <v>88</v>
      </c>
      <c r="H291">
        <f t="shared" si="29"/>
        <v>179</v>
      </c>
      <c r="I291">
        <v>179</v>
      </c>
      <c r="J291">
        <v>0</v>
      </c>
      <c r="K291">
        <v>0</v>
      </c>
      <c r="L291">
        <v>179</v>
      </c>
      <c r="O291">
        <f>Tabla5[[#This Row],[Taladros Simples]]+Tabla5[[#This Row],[Taladros Dobles]]+Tabla5[[#This Row],[Taladros Triples]]</f>
        <v>179</v>
      </c>
      <c r="R291" s="17">
        <v>184</v>
      </c>
      <c r="S291" s="17">
        <v>1426</v>
      </c>
      <c r="V291">
        <v>186</v>
      </c>
      <c r="W291">
        <v>400</v>
      </c>
      <c r="AF291" t="e">
        <f>-#REF!</f>
        <v>#REF!</v>
      </c>
      <c r="AP291" t="str">
        <f t="shared" si="27"/>
        <v>Túnel completo-Vol 88</v>
      </c>
    </row>
    <row r="292" spans="1:43" ht="15" customHeight="1" x14ac:dyDescent="0.3">
      <c r="A292" s="30">
        <v>174</v>
      </c>
      <c r="B292" s="12" t="s">
        <v>144</v>
      </c>
      <c r="C292">
        <v>2024</v>
      </c>
      <c r="D292" t="s">
        <v>231</v>
      </c>
      <c r="E292" s="16">
        <v>45492</v>
      </c>
      <c r="F292" t="s">
        <v>184</v>
      </c>
      <c r="G292">
        <v>174</v>
      </c>
      <c r="H292">
        <f t="shared" si="29"/>
        <v>182</v>
      </c>
      <c r="I292">
        <f>+Tabla5[[#This Row],[N°TOTAL TALADROS CARGADOS]]</f>
        <v>182</v>
      </c>
      <c r="J292">
        <v>0</v>
      </c>
      <c r="K292">
        <v>0</v>
      </c>
      <c r="L292">
        <v>182</v>
      </c>
      <c r="O292">
        <f>Tabla5[[#This Row],[Taladros Simples]]+Tabla5[[#This Row],[Taladros Dobles]]+Tabla5[[#This Row],[Taladros Triples]]</f>
        <v>182</v>
      </c>
      <c r="R292" s="17">
        <v>218</v>
      </c>
      <c r="S292" s="17">
        <v>1671.5</v>
      </c>
      <c r="V292">
        <v>200</v>
      </c>
      <c r="W292">
        <v>400</v>
      </c>
      <c r="AF292" t="e">
        <f>-#REF!</f>
        <v>#REF!</v>
      </c>
      <c r="AP292" t="str">
        <f t="shared" si="27"/>
        <v>Túnel completo-Vol 174</v>
      </c>
    </row>
    <row r="293" spans="1:43" ht="15" customHeight="1" x14ac:dyDescent="0.3">
      <c r="A293" s="30">
        <v>89</v>
      </c>
      <c r="B293" s="12" t="s">
        <v>199</v>
      </c>
      <c r="C293">
        <v>2024</v>
      </c>
      <c r="D293" t="s">
        <v>231</v>
      </c>
      <c r="E293" s="16">
        <v>45492</v>
      </c>
      <c r="F293" t="s">
        <v>184</v>
      </c>
      <c r="G293">
        <v>89</v>
      </c>
      <c r="H293">
        <f t="shared" si="29"/>
        <v>137</v>
      </c>
      <c r="I293">
        <v>137</v>
      </c>
      <c r="J293">
        <v>0</v>
      </c>
      <c r="K293">
        <v>0</v>
      </c>
      <c r="L293">
        <v>137</v>
      </c>
      <c r="O293">
        <f>Tabla5[[#This Row],[Taladros Simples]]+Tabla5[[#This Row],[Taladros Dobles]]+Tabla5[[#This Row],[Taladros Triples]]</f>
        <v>137</v>
      </c>
      <c r="R293" s="17">
        <v>222</v>
      </c>
      <c r="S293" s="17">
        <v>1153</v>
      </c>
      <c r="V293">
        <v>90</v>
      </c>
      <c r="W293">
        <v>400</v>
      </c>
      <c r="AD293">
        <v>1</v>
      </c>
      <c r="AF293" t="e">
        <f>-#REF!</f>
        <v>#REF!</v>
      </c>
      <c r="AP293" t="str">
        <f t="shared" si="27"/>
        <v>Túnel completo-Vol 89</v>
      </c>
      <c r="AQ293" t="s">
        <v>243</v>
      </c>
    </row>
    <row r="294" spans="1:43" ht="15" customHeight="1" x14ac:dyDescent="0.3">
      <c r="A294" s="30">
        <v>175</v>
      </c>
      <c r="B294" s="12" t="s">
        <v>144</v>
      </c>
      <c r="C294">
        <v>2024</v>
      </c>
      <c r="D294" t="s">
        <v>241</v>
      </c>
      <c r="E294" s="16">
        <v>45493</v>
      </c>
      <c r="F294" t="s">
        <v>184</v>
      </c>
      <c r="G294">
        <v>175</v>
      </c>
      <c r="H294">
        <f t="shared" si="29"/>
        <v>163</v>
      </c>
      <c r="I294">
        <f>+Tabla5[[#This Row],[N°TOTAL TALADROS CARGADOS]]</f>
        <v>163</v>
      </c>
      <c r="K294">
        <v>0</v>
      </c>
      <c r="L294">
        <v>163</v>
      </c>
      <c r="O294">
        <f>Tabla5[[#This Row],[Taladros Simples]]+Tabla5[[#This Row],[Taladros Dobles]]+Tabla5[[#This Row],[Taladros Triples]]</f>
        <v>163</v>
      </c>
      <c r="Q294" s="17">
        <v>0</v>
      </c>
      <c r="R294" s="17">
        <v>170</v>
      </c>
      <c r="S294" s="17">
        <v>1637</v>
      </c>
      <c r="V294">
        <v>142</v>
      </c>
      <c r="W294">
        <v>400</v>
      </c>
      <c r="AF294" t="e">
        <f>-#REF!</f>
        <v>#REF!</v>
      </c>
      <c r="AP294" t="str">
        <f t="shared" si="27"/>
        <v>Túnel completo-Vol 175</v>
      </c>
    </row>
    <row r="295" spans="1:43" ht="15" customHeight="1" x14ac:dyDescent="0.3">
      <c r="A295" s="30">
        <v>90</v>
      </c>
      <c r="B295" s="12" t="s">
        <v>199</v>
      </c>
      <c r="C295">
        <v>2024</v>
      </c>
      <c r="D295" t="s">
        <v>241</v>
      </c>
      <c r="E295" s="16">
        <v>45493</v>
      </c>
      <c r="F295" t="s">
        <v>184</v>
      </c>
      <c r="G295">
        <v>90</v>
      </c>
      <c r="H295">
        <f t="shared" si="29"/>
        <v>144</v>
      </c>
      <c r="I295">
        <f>+Tabla5[[#This Row],[N°TOTAL TALADROS CARGADOS]]</f>
        <v>144</v>
      </c>
      <c r="K295">
        <v>0</v>
      </c>
      <c r="L295">
        <v>144</v>
      </c>
      <c r="O295">
        <f>Tabla5[[#This Row],[Taladros Simples]]+Tabla5[[#This Row],[Taladros Dobles]]+Tabla5[[#This Row],[Taladros Triples]]</f>
        <v>144</v>
      </c>
      <c r="R295" s="17">
        <v>114</v>
      </c>
      <c r="S295" s="17">
        <v>1325</v>
      </c>
      <c r="V295">
        <v>200</v>
      </c>
      <c r="W295">
        <v>400</v>
      </c>
      <c r="AF295" t="e">
        <f>-#REF!</f>
        <v>#REF!</v>
      </c>
      <c r="AP295" t="str">
        <f t="shared" ref="AP295:AP326" si="30">CONCATENATE(F295,"-","Vol"," ",G295)</f>
        <v>Túnel completo-Vol 90</v>
      </c>
    </row>
    <row r="296" spans="1:43" ht="15" customHeight="1" x14ac:dyDescent="0.3">
      <c r="A296" s="30">
        <v>176</v>
      </c>
      <c r="B296" s="12" t="s">
        <v>144</v>
      </c>
      <c r="C296">
        <v>2024</v>
      </c>
      <c r="D296" t="s">
        <v>241</v>
      </c>
      <c r="E296" s="16">
        <v>45493</v>
      </c>
      <c r="F296" t="s">
        <v>184</v>
      </c>
      <c r="G296">
        <v>176</v>
      </c>
      <c r="H296">
        <f t="shared" si="29"/>
        <v>179</v>
      </c>
      <c r="I296">
        <f>+Tabla5[[#This Row],[N°TOTAL TALADROS CARGADOS]]</f>
        <v>179</v>
      </c>
      <c r="L296">
        <v>179</v>
      </c>
      <c r="O296">
        <f>Tabla5[[#This Row],[Taladros Simples]]+Tabla5[[#This Row],[Taladros Dobles]]+Tabla5[[#This Row],[Taladros Triples]]</f>
        <v>179</v>
      </c>
      <c r="Q296" s="17">
        <v>0</v>
      </c>
      <c r="R296" s="17">
        <v>210</v>
      </c>
      <c r="S296" s="17">
        <v>1684</v>
      </c>
      <c r="V296">
        <v>200</v>
      </c>
      <c r="W296">
        <v>200</v>
      </c>
      <c r="AF296" t="e">
        <f>-#REF!</f>
        <v>#REF!</v>
      </c>
      <c r="AP296" t="str">
        <f t="shared" si="30"/>
        <v>Túnel completo-Vol 176</v>
      </c>
    </row>
    <row r="297" spans="1:43" ht="15" customHeight="1" x14ac:dyDescent="0.3">
      <c r="A297" s="30">
        <v>91</v>
      </c>
      <c r="B297" s="12" t="s">
        <v>199</v>
      </c>
      <c r="C297">
        <v>2024</v>
      </c>
      <c r="D297" t="s">
        <v>231</v>
      </c>
      <c r="E297" s="16">
        <v>45493</v>
      </c>
      <c r="F297" t="s">
        <v>184</v>
      </c>
      <c r="G297">
        <v>91</v>
      </c>
      <c r="H297">
        <f t="shared" si="29"/>
        <v>186</v>
      </c>
      <c r="I297">
        <f>+Tabla5[[#This Row],[N°TOTAL TALADROS CARGADOS]]</f>
        <v>186</v>
      </c>
      <c r="L297">
        <v>186</v>
      </c>
      <c r="O297">
        <f>Tabla5[[#This Row],[Taladros Simples]]+Tabla5[[#This Row],[Taladros Dobles]]+Tabla5[[#This Row],[Taladros Triples]]</f>
        <v>186</v>
      </c>
      <c r="W297">
        <v>400</v>
      </c>
      <c r="AF297" t="e">
        <f>-#REF!</f>
        <v>#REF!</v>
      </c>
      <c r="AP297" t="str">
        <f t="shared" si="30"/>
        <v>Túnel completo-Vol 91</v>
      </c>
    </row>
    <row r="298" spans="1:43" ht="15" customHeight="1" x14ac:dyDescent="0.3">
      <c r="A298" s="30">
        <v>177</v>
      </c>
      <c r="B298" s="12" t="s">
        <v>144</v>
      </c>
      <c r="C298">
        <v>2024</v>
      </c>
      <c r="D298" t="s">
        <v>231</v>
      </c>
      <c r="E298" s="16">
        <v>45494</v>
      </c>
      <c r="F298" t="s">
        <v>237</v>
      </c>
      <c r="G298">
        <v>177</v>
      </c>
      <c r="H298">
        <f t="shared" si="29"/>
        <v>177</v>
      </c>
      <c r="I298">
        <f>+Tabla5[[#This Row],[N°TOTAL TALADROS CARGADOS]]</f>
        <v>177</v>
      </c>
      <c r="L298">
        <v>177</v>
      </c>
      <c r="O298">
        <f>Tabla5[[#This Row],[Taladros Simples]]+Tabla5[[#This Row],[Taladros Dobles]]+Tabla5[[#This Row],[Taladros Triples]]</f>
        <v>177</v>
      </c>
      <c r="R298" s="17">
        <v>217</v>
      </c>
      <c r="S298" s="17">
        <v>1623</v>
      </c>
      <c r="V298">
        <v>126</v>
      </c>
      <c r="W298">
        <v>400</v>
      </c>
      <c r="AF298" t="e">
        <f>-#REF!</f>
        <v>#REF!</v>
      </c>
      <c r="AP298" t="str">
        <f t="shared" si="30"/>
        <v>Tunel + banco-Vol 177</v>
      </c>
      <c r="AQ298" t="s">
        <v>244</v>
      </c>
    </row>
    <row r="299" spans="1:43" ht="15" customHeight="1" x14ac:dyDescent="0.3">
      <c r="A299" s="30">
        <v>92</v>
      </c>
      <c r="B299" s="12" t="s">
        <v>199</v>
      </c>
      <c r="C299">
        <v>2024</v>
      </c>
      <c r="D299" t="s">
        <v>231</v>
      </c>
      <c r="E299" s="16">
        <v>45494</v>
      </c>
      <c r="F299" t="s">
        <v>184</v>
      </c>
      <c r="G299">
        <v>92</v>
      </c>
      <c r="H299">
        <f t="shared" si="29"/>
        <v>159</v>
      </c>
      <c r="I299">
        <f>+Tabla5[[#This Row],[N°TOTAL TALADROS CARGADOS]]</f>
        <v>159</v>
      </c>
      <c r="L299">
        <v>159</v>
      </c>
      <c r="O299">
        <f>Tabla5[[#This Row],[Taladros Simples]]+Tabla5[[#This Row],[Taladros Dobles]]+Tabla5[[#This Row],[Taladros Triples]]</f>
        <v>159</v>
      </c>
      <c r="W299">
        <v>400</v>
      </c>
      <c r="AF299" t="e">
        <f>-#REF!</f>
        <v>#REF!</v>
      </c>
      <c r="AP299" t="str">
        <f t="shared" si="30"/>
        <v>Túnel completo-Vol 92</v>
      </c>
    </row>
    <row r="300" spans="1:43" ht="15" customHeight="1" x14ac:dyDescent="0.3">
      <c r="A300" s="30">
        <v>178</v>
      </c>
      <c r="B300" s="12" t="s">
        <v>144</v>
      </c>
      <c r="C300">
        <v>2024</v>
      </c>
      <c r="D300" t="s">
        <v>238</v>
      </c>
      <c r="E300" s="16">
        <v>45494</v>
      </c>
      <c r="F300" t="s">
        <v>184</v>
      </c>
      <c r="G300">
        <v>178</v>
      </c>
      <c r="H300">
        <f t="shared" si="29"/>
        <v>162</v>
      </c>
      <c r="I300">
        <v>162</v>
      </c>
      <c r="L300">
        <v>162</v>
      </c>
      <c r="O300">
        <f>Tabla5[[#This Row],[Taladros Simples]]+Tabla5[[#This Row],[Taladros Dobles]]+Tabla5[[#This Row],[Taladros Triples]]</f>
        <v>162</v>
      </c>
      <c r="Q300" s="17">
        <v>0</v>
      </c>
      <c r="R300" s="17">
        <v>144</v>
      </c>
      <c r="S300" s="17">
        <v>1376</v>
      </c>
      <c r="V300">
        <v>140</v>
      </c>
      <c r="W300">
        <v>200</v>
      </c>
      <c r="AF300" t="e">
        <f>-#REF!</f>
        <v>#REF!</v>
      </c>
      <c r="AP300" t="str">
        <f t="shared" si="30"/>
        <v>Túnel completo-Vol 178</v>
      </c>
    </row>
    <row r="301" spans="1:43" ht="15" customHeight="1" x14ac:dyDescent="0.3">
      <c r="A301" s="30">
        <v>93</v>
      </c>
      <c r="B301" s="12" t="s">
        <v>199</v>
      </c>
      <c r="C301">
        <v>2024</v>
      </c>
      <c r="D301" t="s">
        <v>231</v>
      </c>
      <c r="E301" s="16">
        <v>45494</v>
      </c>
      <c r="F301" t="s">
        <v>184</v>
      </c>
      <c r="G301">
        <v>93</v>
      </c>
      <c r="H301">
        <f t="shared" si="29"/>
        <v>168</v>
      </c>
      <c r="I301">
        <f>+Tabla5[[#This Row],[N°TOTAL TALADROS CARGADOS]]</f>
        <v>168</v>
      </c>
      <c r="L301">
        <v>168</v>
      </c>
      <c r="O301">
        <f>Tabla5[[#This Row],[Taladros Simples]]+Tabla5[[#This Row],[Taladros Dobles]]+Tabla5[[#This Row],[Taladros Triples]]</f>
        <v>168</v>
      </c>
      <c r="R301" s="17">
        <v>0</v>
      </c>
      <c r="S301" s="17">
        <v>1560</v>
      </c>
      <c r="W301">
        <v>400</v>
      </c>
      <c r="AF301" t="e">
        <f>-#REF!</f>
        <v>#REF!</v>
      </c>
      <c r="AP301" t="str">
        <f t="shared" si="30"/>
        <v>Túnel completo-Vol 93</v>
      </c>
    </row>
    <row r="302" spans="1:43" ht="15" customHeight="1" x14ac:dyDescent="0.3">
      <c r="A302" s="30">
        <v>179</v>
      </c>
      <c r="B302" s="12" t="s">
        <v>144</v>
      </c>
      <c r="C302">
        <v>2024</v>
      </c>
      <c r="D302" t="s">
        <v>231</v>
      </c>
      <c r="E302" s="16">
        <v>45495</v>
      </c>
      <c r="F302" t="s">
        <v>184</v>
      </c>
      <c r="G302">
        <v>179</v>
      </c>
      <c r="H302">
        <f t="shared" si="29"/>
        <v>176</v>
      </c>
      <c r="I302">
        <f>+Tabla5[[#This Row],[N°TOTAL TALADROS CARGADOS]]</f>
        <v>176</v>
      </c>
      <c r="L302">
        <v>176</v>
      </c>
      <c r="O302">
        <f>Tabla5[[#This Row],[Taladros Simples]]+Tabla5[[#This Row],[Taladros Dobles]]+Tabla5[[#This Row],[Taladros Triples]]</f>
        <v>176</v>
      </c>
      <c r="R302" s="17">
        <v>206</v>
      </c>
      <c r="S302" s="17">
        <v>1647</v>
      </c>
      <c r="V302">
        <v>200</v>
      </c>
      <c r="W302">
        <v>200</v>
      </c>
      <c r="AF302" t="e">
        <f>-#REF!</f>
        <v>#REF!</v>
      </c>
      <c r="AP302" t="str">
        <f t="shared" si="30"/>
        <v>Túnel completo-Vol 179</v>
      </c>
    </row>
    <row r="303" spans="1:43" ht="15" customHeight="1" x14ac:dyDescent="0.3">
      <c r="A303" s="30">
        <v>94</v>
      </c>
      <c r="B303" s="12" t="s">
        <v>199</v>
      </c>
      <c r="C303">
        <v>2024</v>
      </c>
      <c r="D303" t="s">
        <v>231</v>
      </c>
      <c r="E303" s="16">
        <v>45495</v>
      </c>
      <c r="F303" t="s">
        <v>184</v>
      </c>
      <c r="G303">
        <v>94</v>
      </c>
      <c r="H303">
        <f t="shared" si="29"/>
        <v>204</v>
      </c>
      <c r="I303">
        <f>+Tabla5[[#This Row],[N°TOTAL TALADROS CARGADOS]]</f>
        <v>204</v>
      </c>
      <c r="L303">
        <v>204</v>
      </c>
      <c r="O303">
        <f>Tabla5[[#This Row],[Taladros Simples]]+Tabla5[[#This Row],[Taladros Dobles]]+Tabla5[[#This Row],[Taladros Triples]]</f>
        <v>204</v>
      </c>
      <c r="R303" s="17">
        <v>223</v>
      </c>
      <c r="S303" s="17">
        <v>1739</v>
      </c>
      <c r="W303">
        <v>400</v>
      </c>
      <c r="AF303" t="e">
        <f>-#REF!</f>
        <v>#REF!</v>
      </c>
      <c r="AP303" t="str">
        <f t="shared" si="30"/>
        <v>Túnel completo-Vol 94</v>
      </c>
    </row>
    <row r="304" spans="1:43" ht="15" customHeight="1" x14ac:dyDescent="0.3">
      <c r="A304" s="30">
        <v>180</v>
      </c>
      <c r="B304" s="12" t="s">
        <v>144</v>
      </c>
      <c r="C304">
        <v>2024</v>
      </c>
      <c r="D304" t="s">
        <v>231</v>
      </c>
      <c r="E304" s="16">
        <v>45495</v>
      </c>
      <c r="F304" t="s">
        <v>237</v>
      </c>
      <c r="G304">
        <v>180</v>
      </c>
      <c r="H304">
        <f t="shared" si="29"/>
        <v>183</v>
      </c>
      <c r="I304">
        <f>+Tabla5[[#This Row],[N°TOTAL TALADROS CARGADOS]]</f>
        <v>183</v>
      </c>
      <c r="L304">
        <v>183</v>
      </c>
      <c r="O304">
        <f>Tabla5[[#This Row],[Taladros Simples]]+Tabla5[[#This Row],[Taladros Dobles]]+Tabla5[[#This Row],[Taladros Triples]]</f>
        <v>183</v>
      </c>
      <c r="R304" s="17">
        <v>173</v>
      </c>
      <c r="S304" s="17">
        <v>1778</v>
      </c>
      <c r="V304">
        <v>105</v>
      </c>
      <c r="W304">
        <v>400</v>
      </c>
      <c r="AF304" t="e">
        <f>-#REF!</f>
        <v>#REF!</v>
      </c>
      <c r="AP304" t="str">
        <f t="shared" si="30"/>
        <v>Tunel + banco-Vol 180</v>
      </c>
    </row>
    <row r="305" spans="1:42" ht="15" customHeight="1" x14ac:dyDescent="0.3">
      <c r="A305" s="30">
        <v>95</v>
      </c>
      <c r="B305" s="12" t="s">
        <v>199</v>
      </c>
      <c r="C305">
        <v>2024</v>
      </c>
      <c r="D305" t="s">
        <v>231</v>
      </c>
      <c r="E305" s="16">
        <v>45495</v>
      </c>
      <c r="F305" t="s">
        <v>184</v>
      </c>
      <c r="G305">
        <v>95</v>
      </c>
      <c r="H305">
        <f t="shared" si="29"/>
        <v>154</v>
      </c>
      <c r="I305">
        <f>+Tabla5[[#This Row],[N°TOTAL TALADROS CARGADOS]]</f>
        <v>154</v>
      </c>
      <c r="L305">
        <v>154</v>
      </c>
      <c r="O305">
        <f>Tabla5[[#This Row],[Taladros Simples]]+Tabla5[[#This Row],[Taladros Dobles]]+Tabla5[[#This Row],[Taladros Triples]]</f>
        <v>154</v>
      </c>
      <c r="R305" s="17">
        <v>155</v>
      </c>
      <c r="S305" s="17">
        <v>1527</v>
      </c>
      <c r="W305">
        <v>400</v>
      </c>
      <c r="AF305" t="e">
        <f>-#REF!</f>
        <v>#REF!</v>
      </c>
      <c r="AP305" t="str">
        <f t="shared" si="30"/>
        <v>Túnel completo-Vol 95</v>
      </c>
    </row>
    <row r="306" spans="1:42" ht="15" customHeight="1" x14ac:dyDescent="0.3">
      <c r="A306" s="30">
        <v>181</v>
      </c>
      <c r="B306" s="12" t="s">
        <v>144</v>
      </c>
      <c r="C306">
        <v>2024</v>
      </c>
      <c r="D306" t="s">
        <v>231</v>
      </c>
      <c r="E306" s="16">
        <v>45496</v>
      </c>
      <c r="F306" t="s">
        <v>221</v>
      </c>
      <c r="G306">
        <v>181</v>
      </c>
      <c r="H306">
        <f t="shared" si="29"/>
        <v>189</v>
      </c>
      <c r="I306">
        <f>+Tabla5[[#This Row],[N°TOTAL TALADROS CARGADOS]]</f>
        <v>189</v>
      </c>
      <c r="L306">
        <v>189</v>
      </c>
      <c r="O306">
        <f>Tabla5[[#This Row],[Taladros Simples]]+Tabla5[[#This Row],[Taladros Dobles]]+Tabla5[[#This Row],[Taladros Triples]]</f>
        <v>189</v>
      </c>
      <c r="R306" s="17">
        <v>335</v>
      </c>
      <c r="S306" s="17">
        <v>1619</v>
      </c>
      <c r="V306">
        <v>185</v>
      </c>
      <c r="W306">
        <v>400</v>
      </c>
      <c r="AF306" t="e">
        <f>-#REF!</f>
        <v>#REF!</v>
      </c>
      <c r="AP306" t="str">
        <f t="shared" si="30"/>
        <v>Túnel completo + banco-Vol 181</v>
      </c>
    </row>
    <row r="307" spans="1:42" ht="15" customHeight="1" x14ac:dyDescent="0.3">
      <c r="A307" s="30">
        <v>96</v>
      </c>
      <c r="B307" s="12" t="s">
        <v>199</v>
      </c>
      <c r="C307">
        <v>2024</v>
      </c>
      <c r="D307" t="s">
        <v>231</v>
      </c>
      <c r="E307" s="16">
        <v>45496</v>
      </c>
      <c r="F307" t="s">
        <v>184</v>
      </c>
      <c r="G307">
        <v>96</v>
      </c>
      <c r="H307">
        <f t="shared" si="29"/>
        <v>180</v>
      </c>
      <c r="I307">
        <f>+Tabla5[[#This Row],[N°TOTAL TALADROS CARGADOS]]</f>
        <v>180</v>
      </c>
      <c r="L307">
        <v>180</v>
      </c>
      <c r="O307">
        <f>Tabla5[[#This Row],[Taladros Simples]]+Tabla5[[#This Row],[Taladros Dobles]]+Tabla5[[#This Row],[Taladros Triples]]</f>
        <v>180</v>
      </c>
      <c r="Q307" s="17">
        <v>0</v>
      </c>
      <c r="R307" s="17">
        <v>227</v>
      </c>
      <c r="S307" s="17">
        <v>1423</v>
      </c>
      <c r="W307">
        <v>400</v>
      </c>
      <c r="AF307" t="e">
        <f>-#REF!</f>
        <v>#REF!</v>
      </c>
      <c r="AP307" t="str">
        <f t="shared" si="30"/>
        <v>Túnel completo-Vol 96</v>
      </c>
    </row>
    <row r="308" spans="1:42" ht="15" customHeight="1" x14ac:dyDescent="0.3">
      <c r="A308" s="30">
        <v>182</v>
      </c>
      <c r="B308" s="12" t="s">
        <v>144</v>
      </c>
      <c r="C308">
        <v>2024</v>
      </c>
      <c r="D308" t="s">
        <v>238</v>
      </c>
      <c r="E308" s="16" t="s">
        <v>245</v>
      </c>
      <c r="F308" t="s">
        <v>221</v>
      </c>
      <c r="G308">
        <v>182</v>
      </c>
      <c r="H308">
        <f t="shared" si="29"/>
        <v>180</v>
      </c>
      <c r="I308">
        <v>180</v>
      </c>
      <c r="L308">
        <v>180</v>
      </c>
      <c r="O308">
        <f>Tabla5[[#This Row],[Taladros Simples]]+Tabla5[[#This Row],[Taladros Dobles]]+Tabla5[[#This Row],[Taladros Triples]]</f>
        <v>180</v>
      </c>
      <c r="R308" s="17">
        <v>134</v>
      </c>
      <c r="S308" s="17">
        <v>1474.5</v>
      </c>
      <c r="V308">
        <v>145</v>
      </c>
      <c r="W308">
        <v>400</v>
      </c>
      <c r="AF308" t="e">
        <f>-#REF!</f>
        <v>#REF!</v>
      </c>
      <c r="AP308" t="str">
        <f t="shared" si="30"/>
        <v>Túnel completo + banco-Vol 182</v>
      </c>
    </row>
    <row r="309" spans="1:42" ht="15" customHeight="1" x14ac:dyDescent="0.3">
      <c r="A309" s="30">
        <v>97</v>
      </c>
      <c r="B309" s="12" t="s">
        <v>199</v>
      </c>
      <c r="C309">
        <v>2024</v>
      </c>
      <c r="D309" t="s">
        <v>238</v>
      </c>
      <c r="E309" s="16" t="s">
        <v>245</v>
      </c>
      <c r="F309" t="s">
        <v>184</v>
      </c>
      <c r="G309">
        <v>170</v>
      </c>
      <c r="H309">
        <f t="shared" si="29"/>
        <v>170</v>
      </c>
      <c r="I309">
        <v>170</v>
      </c>
      <c r="L309">
        <v>170</v>
      </c>
      <c r="O309">
        <f>Tabla5[[#This Row],[Taladros Simples]]+Tabla5[[#This Row],[Taladros Dobles]]+Tabla5[[#This Row],[Taladros Triples]]</f>
        <v>170</v>
      </c>
      <c r="R309" s="17">
        <v>300</v>
      </c>
      <c r="S309" s="17">
        <v>2250</v>
      </c>
      <c r="W309">
        <v>400</v>
      </c>
      <c r="AF309" t="e">
        <f>-#REF!</f>
        <v>#REF!</v>
      </c>
      <c r="AP309" t="str">
        <f t="shared" si="30"/>
        <v>Túnel completo-Vol 170</v>
      </c>
    </row>
    <row r="310" spans="1:42" ht="15" customHeight="1" x14ac:dyDescent="0.3">
      <c r="A310" s="30">
        <v>98</v>
      </c>
      <c r="B310" s="12" t="s">
        <v>199</v>
      </c>
      <c r="C310">
        <v>2024</v>
      </c>
      <c r="D310" t="s">
        <v>238</v>
      </c>
      <c r="E310" s="16" t="s">
        <v>246</v>
      </c>
      <c r="F310" t="s">
        <v>184</v>
      </c>
      <c r="G310">
        <v>98</v>
      </c>
      <c r="H310">
        <f t="shared" si="29"/>
        <v>172</v>
      </c>
      <c r="I310">
        <v>172</v>
      </c>
      <c r="J310">
        <v>0</v>
      </c>
      <c r="K310">
        <v>0</v>
      </c>
      <c r="L310">
        <v>172</v>
      </c>
      <c r="O310">
        <f>Tabla5[[#This Row],[Taladros Simples]]+Tabla5[[#This Row],[Taladros Dobles]]+Tabla5[[#This Row],[Taladros Triples]]</f>
        <v>172</v>
      </c>
      <c r="R310" s="17">
        <v>192</v>
      </c>
      <c r="S310" s="17">
        <v>1577</v>
      </c>
      <c r="W310">
        <v>400</v>
      </c>
      <c r="AF310" t="e">
        <f>-#REF!</f>
        <v>#REF!</v>
      </c>
      <c r="AP310" t="str">
        <f t="shared" si="30"/>
        <v>Túnel completo-Vol 98</v>
      </c>
    </row>
    <row r="311" spans="1:42" ht="15" customHeight="1" x14ac:dyDescent="0.3">
      <c r="A311" s="30">
        <v>183</v>
      </c>
      <c r="B311" s="12" t="s">
        <v>144</v>
      </c>
      <c r="C311">
        <v>2024</v>
      </c>
      <c r="D311" t="s">
        <v>238</v>
      </c>
      <c r="E311" s="16" t="s">
        <v>246</v>
      </c>
      <c r="F311" t="s">
        <v>221</v>
      </c>
      <c r="G311">
        <v>183</v>
      </c>
      <c r="H311">
        <f t="shared" si="29"/>
        <v>192</v>
      </c>
      <c r="I311">
        <v>192</v>
      </c>
      <c r="J311">
        <v>0</v>
      </c>
      <c r="K311">
        <v>0</v>
      </c>
      <c r="L311">
        <v>192</v>
      </c>
      <c r="O311">
        <f>Tabla5[[#This Row],[Taladros Simples]]+Tabla5[[#This Row],[Taladros Dobles]]+Tabla5[[#This Row],[Taladros Triples]]</f>
        <v>192</v>
      </c>
      <c r="R311" s="17">
        <v>342</v>
      </c>
      <c r="S311" s="17">
        <v>1633</v>
      </c>
      <c r="V311">
        <v>185</v>
      </c>
      <c r="W311">
        <v>400</v>
      </c>
      <c r="AF311" t="e">
        <f>-#REF!</f>
        <v>#REF!</v>
      </c>
      <c r="AP311" t="str">
        <f t="shared" si="30"/>
        <v>Túnel completo + banco-Vol 183</v>
      </c>
    </row>
    <row r="312" spans="1:42" ht="15" customHeight="1" x14ac:dyDescent="0.3">
      <c r="A312" s="30">
        <v>184</v>
      </c>
      <c r="B312" s="12" t="s">
        <v>144</v>
      </c>
      <c r="C312">
        <v>2024</v>
      </c>
      <c r="D312" t="s">
        <v>238</v>
      </c>
      <c r="E312" s="16" t="s">
        <v>246</v>
      </c>
      <c r="F312" t="s">
        <v>221</v>
      </c>
      <c r="G312">
        <v>184</v>
      </c>
      <c r="H312">
        <f t="shared" si="29"/>
        <v>169</v>
      </c>
      <c r="I312">
        <v>169</v>
      </c>
      <c r="L312">
        <v>169</v>
      </c>
      <c r="O312">
        <f>Tabla5[[#This Row],[Taladros Simples]]+Tabla5[[#This Row],[Taladros Dobles]]+Tabla5[[#This Row],[Taladros Triples]]</f>
        <v>169</v>
      </c>
      <c r="R312" s="17">
        <v>137</v>
      </c>
      <c r="S312" s="17">
        <v>1616</v>
      </c>
      <c r="V312">
        <v>113</v>
      </c>
      <c r="W312">
        <v>600</v>
      </c>
      <c r="AF312" t="e">
        <f>-#REF!</f>
        <v>#REF!</v>
      </c>
      <c r="AP312" t="str">
        <f t="shared" si="30"/>
        <v>Túnel completo + banco-Vol 184</v>
      </c>
    </row>
    <row r="313" spans="1:42" ht="15" customHeight="1" x14ac:dyDescent="0.3">
      <c r="A313" s="30">
        <v>99</v>
      </c>
      <c r="B313" s="12" t="s">
        <v>199</v>
      </c>
      <c r="C313">
        <v>2024</v>
      </c>
      <c r="D313" t="s">
        <v>238</v>
      </c>
      <c r="E313" s="16" t="s">
        <v>246</v>
      </c>
      <c r="F313" t="s">
        <v>247</v>
      </c>
      <c r="G313">
        <v>99</v>
      </c>
      <c r="H313">
        <f t="shared" si="29"/>
        <v>179</v>
      </c>
      <c r="I313">
        <v>179</v>
      </c>
      <c r="J313">
        <v>0</v>
      </c>
      <c r="K313">
        <v>0</v>
      </c>
      <c r="L313">
        <v>179</v>
      </c>
      <c r="O313">
        <f>Tabla5[[#This Row],[Taladros Simples]]+Tabla5[[#This Row],[Taladros Dobles]]+Tabla5[[#This Row],[Taladros Triples]]</f>
        <v>179</v>
      </c>
      <c r="R313" s="17">
        <v>127</v>
      </c>
      <c r="S313" s="17">
        <v>1714</v>
      </c>
      <c r="W313">
        <v>400</v>
      </c>
      <c r="AF313" t="e">
        <f>-#REF!</f>
        <v>#REF!</v>
      </c>
      <c r="AP313" t="str">
        <f t="shared" si="30"/>
        <v>Túnel completo + desquinche  -Vol 99</v>
      </c>
    </row>
    <row r="314" spans="1:42" ht="15" customHeight="1" x14ac:dyDescent="0.3">
      <c r="A314" s="30">
        <v>100</v>
      </c>
      <c r="B314" s="12" t="s">
        <v>199</v>
      </c>
      <c r="C314">
        <v>2024</v>
      </c>
      <c r="D314" t="s">
        <v>238</v>
      </c>
      <c r="E314" s="16">
        <v>45498</v>
      </c>
      <c r="F314" t="s">
        <v>247</v>
      </c>
      <c r="G314">
        <v>100</v>
      </c>
      <c r="H314">
        <f t="shared" si="29"/>
        <v>172</v>
      </c>
      <c r="I314">
        <v>172</v>
      </c>
      <c r="J314">
        <v>0</v>
      </c>
      <c r="K314">
        <v>0</v>
      </c>
      <c r="L314">
        <v>172</v>
      </c>
      <c r="O314">
        <f>Tabla5[[#This Row],[Taladros Simples]]+Tabla5[[#This Row],[Taladros Dobles]]+Tabla5[[#This Row],[Taladros Triples]]</f>
        <v>172</v>
      </c>
      <c r="R314" s="17">
        <v>193</v>
      </c>
      <c r="S314" s="17">
        <v>1635</v>
      </c>
      <c r="V314">
        <v>200</v>
      </c>
      <c r="W314">
        <v>400</v>
      </c>
      <c r="AF314" t="e">
        <f>-#REF!</f>
        <v>#REF!</v>
      </c>
      <c r="AP314" t="str">
        <f t="shared" si="30"/>
        <v>Túnel completo + desquinche  -Vol 100</v>
      </c>
    </row>
    <row r="315" spans="1:42" ht="15" customHeight="1" x14ac:dyDescent="0.3">
      <c r="A315" s="30">
        <v>185</v>
      </c>
      <c r="B315" s="12" t="s">
        <v>144</v>
      </c>
      <c r="C315">
        <v>2024</v>
      </c>
      <c r="D315" t="s">
        <v>238</v>
      </c>
      <c r="E315" s="16">
        <v>45498</v>
      </c>
      <c r="F315" t="s">
        <v>221</v>
      </c>
      <c r="G315">
        <v>185</v>
      </c>
      <c r="H315">
        <f t="shared" si="29"/>
        <v>186</v>
      </c>
      <c r="I315">
        <v>186</v>
      </c>
      <c r="L315">
        <v>186</v>
      </c>
      <c r="O315">
        <f>Tabla5[[#This Row],[Taladros Simples]]+Tabla5[[#This Row],[Taladros Dobles]]+Tabla5[[#This Row],[Taladros Triples]]</f>
        <v>186</v>
      </c>
      <c r="R315" s="17">
        <v>283</v>
      </c>
      <c r="S315" s="17">
        <v>1688.5</v>
      </c>
      <c r="V315">
        <v>188</v>
      </c>
      <c r="W315">
        <v>600</v>
      </c>
      <c r="AF315" t="e">
        <f>-#REF!</f>
        <v>#REF!</v>
      </c>
      <c r="AP315" t="str">
        <f t="shared" si="30"/>
        <v>Túnel completo + banco-Vol 185</v>
      </c>
    </row>
    <row r="316" spans="1:42" ht="15" customHeight="1" x14ac:dyDescent="0.3">
      <c r="A316" s="30">
        <v>101</v>
      </c>
      <c r="B316" s="12" t="s">
        <v>199</v>
      </c>
      <c r="C316">
        <v>2024</v>
      </c>
      <c r="D316" t="s">
        <v>238</v>
      </c>
      <c r="E316" s="16" t="s">
        <v>248</v>
      </c>
      <c r="F316" t="s">
        <v>247</v>
      </c>
      <c r="G316">
        <v>101</v>
      </c>
      <c r="H316">
        <f t="shared" si="29"/>
        <v>151</v>
      </c>
      <c r="I316">
        <v>151</v>
      </c>
      <c r="L316">
        <v>185</v>
      </c>
      <c r="O316">
        <f>Tabla5[[#This Row],[Taladros Simples]]+Tabla5[[#This Row],[Taladros Dobles]]+Tabla5[[#This Row],[Taladros Triples]]</f>
        <v>185</v>
      </c>
      <c r="W316">
        <v>200</v>
      </c>
      <c r="AF316" t="e">
        <f>-#REF!</f>
        <v>#REF!</v>
      </c>
      <c r="AP316" t="str">
        <f t="shared" si="30"/>
        <v>Túnel completo + desquinche  -Vol 101</v>
      </c>
    </row>
    <row r="317" spans="1:42" ht="15" customHeight="1" x14ac:dyDescent="0.3">
      <c r="A317" s="30">
        <v>186</v>
      </c>
      <c r="B317" s="12" t="s">
        <v>144</v>
      </c>
      <c r="C317">
        <v>2024</v>
      </c>
      <c r="D317" t="s">
        <v>238</v>
      </c>
      <c r="E317" s="16" t="s">
        <v>248</v>
      </c>
      <c r="F317" t="s">
        <v>221</v>
      </c>
      <c r="G317">
        <v>186</v>
      </c>
      <c r="H317">
        <f t="shared" si="29"/>
        <v>200</v>
      </c>
      <c r="I317">
        <v>200</v>
      </c>
      <c r="L317">
        <v>200</v>
      </c>
      <c r="O317">
        <f>Tabla5[[#This Row],[Taladros Simples]]+Tabla5[[#This Row],[Taladros Dobles]]+Tabla5[[#This Row],[Taladros Triples]]</f>
        <v>200</v>
      </c>
      <c r="R317" s="17">
        <v>258</v>
      </c>
      <c r="S317" s="17">
        <v>1799.5</v>
      </c>
      <c r="V317">
        <v>145</v>
      </c>
      <c r="W317">
        <v>600</v>
      </c>
      <c r="AF317" t="e">
        <f>-#REF!</f>
        <v>#REF!</v>
      </c>
      <c r="AP317" t="str">
        <f t="shared" si="30"/>
        <v>Túnel completo + banco-Vol 186</v>
      </c>
    </row>
    <row r="318" spans="1:42" ht="15" customHeight="1" x14ac:dyDescent="0.3">
      <c r="A318" s="30">
        <v>187</v>
      </c>
      <c r="B318" s="12" t="s">
        <v>144</v>
      </c>
      <c r="C318">
        <v>2024</v>
      </c>
      <c r="D318" t="s">
        <v>238</v>
      </c>
      <c r="E318" s="16" t="s">
        <v>249</v>
      </c>
      <c r="F318" t="s">
        <v>221</v>
      </c>
      <c r="G318">
        <v>187</v>
      </c>
      <c r="H318">
        <f t="shared" si="29"/>
        <v>184</v>
      </c>
      <c r="I318">
        <v>184</v>
      </c>
      <c r="L318">
        <v>184</v>
      </c>
      <c r="O318">
        <f>Tabla5[[#This Row],[Taladros Simples]]+Tabla5[[#This Row],[Taladros Dobles]]+Tabla5[[#This Row],[Taladros Triples]]</f>
        <v>184</v>
      </c>
      <c r="R318" s="17">
        <v>240</v>
      </c>
      <c r="S318" s="17">
        <v>1783</v>
      </c>
      <c r="V318">
        <v>179</v>
      </c>
      <c r="W318">
        <v>600</v>
      </c>
      <c r="AF318" t="e">
        <f>-#REF!</f>
        <v>#REF!</v>
      </c>
      <c r="AP318" t="str">
        <f t="shared" si="30"/>
        <v>Túnel completo + banco-Vol 187</v>
      </c>
    </row>
    <row r="319" spans="1:42" ht="15" customHeight="1" x14ac:dyDescent="0.3">
      <c r="A319" s="30">
        <v>102</v>
      </c>
      <c r="B319" s="12" t="s">
        <v>199</v>
      </c>
      <c r="C319">
        <v>2024</v>
      </c>
      <c r="D319" t="s">
        <v>238</v>
      </c>
      <c r="E319" s="16" t="s">
        <v>249</v>
      </c>
      <c r="F319" t="s">
        <v>247</v>
      </c>
      <c r="G319">
        <v>102</v>
      </c>
      <c r="H319">
        <f t="shared" si="29"/>
        <v>159</v>
      </c>
      <c r="I319">
        <v>159</v>
      </c>
      <c r="L319">
        <v>159</v>
      </c>
      <c r="O319">
        <f>Tabla5[[#This Row],[Taladros Simples]]+Tabla5[[#This Row],[Taladros Dobles]]+Tabla5[[#This Row],[Taladros Triples]]</f>
        <v>159</v>
      </c>
      <c r="R319" s="17">
        <v>148</v>
      </c>
      <c r="S319" s="17">
        <v>1352</v>
      </c>
      <c r="V319">
        <v>200</v>
      </c>
      <c r="W319">
        <v>400</v>
      </c>
      <c r="AF319" t="e">
        <f>-#REF!</f>
        <v>#REF!</v>
      </c>
      <c r="AP319" t="str">
        <f t="shared" si="30"/>
        <v>Túnel completo + desquinche  -Vol 102</v>
      </c>
    </row>
    <row r="320" spans="1:42" ht="15" customHeight="1" x14ac:dyDescent="0.3">
      <c r="A320" s="30">
        <v>188</v>
      </c>
      <c r="B320" s="12" t="s">
        <v>144</v>
      </c>
      <c r="C320">
        <v>2024</v>
      </c>
      <c r="D320" t="s">
        <v>238</v>
      </c>
      <c r="E320" s="16" t="s">
        <v>249</v>
      </c>
      <c r="F320" t="s">
        <v>221</v>
      </c>
      <c r="G320">
        <v>188</v>
      </c>
      <c r="H320">
        <f t="shared" si="29"/>
        <v>171</v>
      </c>
      <c r="I320">
        <v>171</v>
      </c>
      <c r="L320">
        <v>171</v>
      </c>
      <c r="O320">
        <f>Tabla5[[#This Row],[Taladros Simples]]+Tabla5[[#This Row],[Taladros Dobles]]+Tabla5[[#This Row],[Taladros Triples]]</f>
        <v>171</v>
      </c>
      <c r="R320" s="17">
        <v>170</v>
      </c>
      <c r="S320" s="17">
        <v>1709</v>
      </c>
      <c r="V320">
        <v>200</v>
      </c>
      <c r="W320">
        <v>600</v>
      </c>
      <c r="AF320" t="e">
        <f>-#REF!</f>
        <v>#REF!</v>
      </c>
      <c r="AP320" t="str">
        <f t="shared" si="30"/>
        <v>Túnel completo + banco-Vol 188</v>
      </c>
    </row>
    <row r="321" spans="1:42" ht="15" customHeight="1" x14ac:dyDescent="0.3">
      <c r="A321" s="30">
        <v>103</v>
      </c>
      <c r="B321" s="12" t="s">
        <v>199</v>
      </c>
      <c r="C321">
        <v>2024</v>
      </c>
      <c r="D321" t="s">
        <v>238</v>
      </c>
      <c r="E321" s="16" t="s">
        <v>249</v>
      </c>
      <c r="F321" t="s">
        <v>184</v>
      </c>
      <c r="G321">
        <v>103</v>
      </c>
      <c r="H321">
        <f t="shared" si="29"/>
        <v>129</v>
      </c>
      <c r="I321">
        <v>129</v>
      </c>
      <c r="L321">
        <v>129</v>
      </c>
      <c r="O321">
        <f>Tabla5[[#This Row],[Taladros Simples]]+Tabla5[[#This Row],[Taladros Dobles]]+Tabla5[[#This Row],[Taladros Triples]]</f>
        <v>129</v>
      </c>
      <c r="R321" s="17">
        <v>125</v>
      </c>
      <c r="S321" s="17">
        <v>817</v>
      </c>
      <c r="V321">
        <v>100</v>
      </c>
      <c r="W321">
        <v>400</v>
      </c>
      <c r="AF321" t="e">
        <f>-#REF!</f>
        <v>#REF!</v>
      </c>
      <c r="AP321" t="str">
        <f t="shared" si="30"/>
        <v>Túnel completo-Vol 103</v>
      </c>
    </row>
    <row r="322" spans="1:42" ht="15" customHeight="1" x14ac:dyDescent="0.3">
      <c r="A322" s="30">
        <v>189</v>
      </c>
      <c r="B322" s="12" t="s">
        <v>144</v>
      </c>
      <c r="C322">
        <v>2024</v>
      </c>
      <c r="D322" t="s">
        <v>238</v>
      </c>
      <c r="E322" s="16">
        <v>45500</v>
      </c>
      <c r="F322" t="s">
        <v>221</v>
      </c>
      <c r="G322">
        <v>189</v>
      </c>
      <c r="H322">
        <f t="shared" si="29"/>
        <v>184</v>
      </c>
      <c r="I322">
        <v>184</v>
      </c>
      <c r="L322">
        <v>184</v>
      </c>
      <c r="O322">
        <f>Tabla5[[#This Row],[Taladros Simples]]+Tabla5[[#This Row],[Taladros Dobles]]+Tabla5[[#This Row],[Taladros Triples]]</f>
        <v>184</v>
      </c>
      <c r="V322">
        <v>93</v>
      </c>
      <c r="W322">
        <v>600</v>
      </c>
      <c r="AF322" t="e">
        <f>-#REF!</f>
        <v>#REF!</v>
      </c>
      <c r="AP322" t="str">
        <f t="shared" si="30"/>
        <v>Túnel completo + banco-Vol 189</v>
      </c>
    </row>
    <row r="323" spans="1:42" ht="15" customHeight="1" x14ac:dyDescent="0.3">
      <c r="A323" s="30">
        <v>104</v>
      </c>
      <c r="B323" s="12" t="s">
        <v>199</v>
      </c>
      <c r="C323">
        <v>2024</v>
      </c>
      <c r="D323" t="s">
        <v>238</v>
      </c>
      <c r="E323" s="16">
        <v>45500</v>
      </c>
      <c r="F323" t="s">
        <v>247</v>
      </c>
      <c r="G323">
        <v>104</v>
      </c>
      <c r="H323">
        <f t="shared" si="29"/>
        <v>119</v>
      </c>
      <c r="I323">
        <v>119</v>
      </c>
      <c r="L323">
        <v>119</v>
      </c>
      <c r="O323">
        <f>Tabla5[[#This Row],[Taladros Simples]]+Tabla5[[#This Row],[Taladros Dobles]]+Tabla5[[#This Row],[Taladros Triples]]</f>
        <v>119</v>
      </c>
      <c r="R323" s="17">
        <v>90</v>
      </c>
      <c r="S323" s="17">
        <v>674</v>
      </c>
      <c r="W323">
        <v>400</v>
      </c>
      <c r="AF323" t="e">
        <f>-#REF!</f>
        <v>#REF!</v>
      </c>
      <c r="AP323" t="str">
        <f t="shared" si="30"/>
        <v>Túnel completo + desquinche  -Vol 104</v>
      </c>
    </row>
    <row r="324" spans="1:42" ht="15" customHeight="1" x14ac:dyDescent="0.3">
      <c r="A324" s="30">
        <v>190</v>
      </c>
      <c r="B324" s="12" t="s">
        <v>144</v>
      </c>
      <c r="C324">
        <v>2024</v>
      </c>
      <c r="D324" t="s">
        <v>238</v>
      </c>
      <c r="E324" s="16">
        <v>45500</v>
      </c>
      <c r="F324" t="s">
        <v>184</v>
      </c>
      <c r="G324">
        <v>190</v>
      </c>
      <c r="H324">
        <f t="shared" si="29"/>
        <v>166</v>
      </c>
      <c r="I324">
        <v>166</v>
      </c>
      <c r="L324">
        <v>166</v>
      </c>
      <c r="O324">
        <f>Tabla5[[#This Row],[Taladros Simples]]+Tabla5[[#This Row],[Taladros Dobles]]+Tabla5[[#This Row],[Taladros Triples]]</f>
        <v>166</v>
      </c>
      <c r="R324" s="17">
        <v>171</v>
      </c>
      <c r="S324" s="17">
        <v>1692</v>
      </c>
      <c r="V324">
        <v>143</v>
      </c>
      <c r="W324">
        <v>600</v>
      </c>
      <c r="AF324" t="e">
        <f>-#REF!</f>
        <v>#REF!</v>
      </c>
      <c r="AP324" t="str">
        <f t="shared" si="30"/>
        <v>Túnel completo-Vol 190</v>
      </c>
    </row>
    <row r="325" spans="1:42" ht="15" customHeight="1" x14ac:dyDescent="0.3">
      <c r="A325" s="30">
        <v>191</v>
      </c>
      <c r="B325" s="12" t="s">
        <v>144</v>
      </c>
      <c r="C325">
        <v>2024</v>
      </c>
      <c r="D325" t="s">
        <v>238</v>
      </c>
      <c r="E325" s="16" t="s">
        <v>250</v>
      </c>
      <c r="F325" t="s">
        <v>221</v>
      </c>
      <c r="G325">
        <v>191</v>
      </c>
      <c r="H325">
        <f t="shared" si="29"/>
        <v>188</v>
      </c>
      <c r="I325">
        <v>188</v>
      </c>
      <c r="L325">
        <v>188</v>
      </c>
      <c r="O325">
        <f>Tabla5[[#This Row],[Taladros Simples]]+Tabla5[[#This Row],[Taladros Dobles]]+Tabla5[[#This Row],[Taladros Triples]]</f>
        <v>188</v>
      </c>
      <c r="R325" s="17">
        <v>138</v>
      </c>
      <c r="S325" s="17">
        <v>1813</v>
      </c>
      <c r="V325">
        <v>169</v>
      </c>
      <c r="W325">
        <v>600</v>
      </c>
      <c r="AF325" t="e">
        <f>-#REF!</f>
        <v>#REF!</v>
      </c>
      <c r="AP325" t="str">
        <f t="shared" si="30"/>
        <v>Túnel completo + banco-Vol 191</v>
      </c>
    </row>
    <row r="326" spans="1:42" ht="15" customHeight="1" x14ac:dyDescent="0.3">
      <c r="A326" s="30">
        <v>105</v>
      </c>
      <c r="B326" s="12" t="s">
        <v>199</v>
      </c>
      <c r="C326">
        <v>2024</v>
      </c>
      <c r="D326" t="s">
        <v>238</v>
      </c>
      <c r="E326" s="16" t="s">
        <v>250</v>
      </c>
      <c r="F326" t="s">
        <v>247</v>
      </c>
      <c r="G326">
        <v>105</v>
      </c>
      <c r="H326">
        <f t="shared" si="29"/>
        <v>128</v>
      </c>
      <c r="I326">
        <v>128</v>
      </c>
      <c r="L326">
        <v>128</v>
      </c>
      <c r="O326">
        <f>Tabla5[[#This Row],[Taladros Simples]]+Tabla5[[#This Row],[Taladros Dobles]]+Tabla5[[#This Row],[Taladros Triples]]</f>
        <v>128</v>
      </c>
      <c r="R326" s="17">
        <v>118</v>
      </c>
      <c r="S326" s="17">
        <v>775</v>
      </c>
      <c r="V326">
        <v>200</v>
      </c>
      <c r="W326">
        <v>400</v>
      </c>
      <c r="AF326" t="e">
        <f>-#REF!</f>
        <v>#REF!</v>
      </c>
      <c r="AP326" t="str">
        <f t="shared" si="30"/>
        <v>Túnel completo + desquinche  -Vol 105</v>
      </c>
    </row>
    <row r="327" spans="1:42" ht="15" customHeight="1" x14ac:dyDescent="0.3">
      <c r="A327" s="30">
        <v>106</v>
      </c>
      <c r="B327" s="12" t="s">
        <v>199</v>
      </c>
      <c r="C327">
        <v>2024</v>
      </c>
      <c r="D327" t="s">
        <v>238</v>
      </c>
      <c r="E327" s="16" t="s">
        <v>250</v>
      </c>
      <c r="F327" t="s">
        <v>247</v>
      </c>
      <c r="G327">
        <v>106</v>
      </c>
      <c r="H327">
        <f t="shared" si="29"/>
        <v>107</v>
      </c>
      <c r="I327">
        <v>107</v>
      </c>
      <c r="L327">
        <v>107</v>
      </c>
      <c r="O327">
        <f>Tabla5[[#This Row],[Taladros Simples]]+Tabla5[[#This Row],[Taladros Dobles]]+Tabla5[[#This Row],[Taladros Triples]]</f>
        <v>107</v>
      </c>
      <c r="R327" s="17">
        <v>90</v>
      </c>
      <c r="S327" s="17">
        <v>473</v>
      </c>
      <c r="V327">
        <v>400</v>
      </c>
      <c r="W327">
        <v>400</v>
      </c>
      <c r="AF327" t="e">
        <f>-#REF!</f>
        <v>#REF!</v>
      </c>
      <c r="AP327" t="str">
        <f t="shared" ref="AP327:AP358" si="31">CONCATENATE(F327,"-","Vol"," ",G327)</f>
        <v>Túnel completo + desquinche  -Vol 106</v>
      </c>
    </row>
    <row r="328" spans="1:42" ht="15" customHeight="1" x14ac:dyDescent="0.3">
      <c r="A328" s="30">
        <v>192</v>
      </c>
      <c r="B328" s="12" t="s">
        <v>144</v>
      </c>
      <c r="C328">
        <v>2024</v>
      </c>
      <c r="D328" t="s">
        <v>238</v>
      </c>
      <c r="E328" s="16" t="s">
        <v>250</v>
      </c>
      <c r="F328" t="s">
        <v>221</v>
      </c>
      <c r="G328">
        <v>192</v>
      </c>
      <c r="H328">
        <f t="shared" si="29"/>
        <v>163</v>
      </c>
      <c r="I328">
        <v>163</v>
      </c>
      <c r="L328">
        <v>163</v>
      </c>
      <c r="O328">
        <f>Tabla5[[#This Row],[Taladros Simples]]+Tabla5[[#This Row],[Taladros Dobles]]+Tabla5[[#This Row],[Taladros Triples]]</f>
        <v>163</v>
      </c>
      <c r="R328" s="17">
        <v>610</v>
      </c>
      <c r="S328" s="17">
        <v>1479</v>
      </c>
      <c r="V328">
        <v>137</v>
      </c>
      <c r="W328">
        <v>600</v>
      </c>
      <c r="AF328" t="e">
        <f>-#REF!</f>
        <v>#REF!</v>
      </c>
      <c r="AP328" t="str">
        <f t="shared" si="31"/>
        <v>Túnel completo + banco-Vol 192</v>
      </c>
    </row>
    <row r="329" spans="1:42" ht="15" customHeight="1" x14ac:dyDescent="0.3">
      <c r="A329" s="30">
        <v>107</v>
      </c>
      <c r="B329" s="12" t="s">
        <v>199</v>
      </c>
      <c r="C329">
        <v>2024</v>
      </c>
      <c r="D329" t="s">
        <v>238</v>
      </c>
      <c r="E329" s="16" t="s">
        <v>251</v>
      </c>
      <c r="F329" t="s">
        <v>247</v>
      </c>
      <c r="G329">
        <v>107</v>
      </c>
      <c r="H329">
        <f t="shared" si="29"/>
        <v>119</v>
      </c>
      <c r="I329">
        <v>119</v>
      </c>
      <c r="L329">
        <v>119</v>
      </c>
      <c r="O329">
        <f>Tabla5[[#This Row],[Taladros Simples]]+Tabla5[[#This Row],[Taladros Dobles]]+Tabla5[[#This Row],[Taladros Triples]]</f>
        <v>119</v>
      </c>
      <c r="R329" s="17">
        <v>219</v>
      </c>
      <c r="S329" s="17">
        <v>815</v>
      </c>
      <c r="W329">
        <v>400</v>
      </c>
      <c r="AF329" t="e">
        <f>-#REF!</f>
        <v>#REF!</v>
      </c>
      <c r="AP329" t="str">
        <f t="shared" si="31"/>
        <v>Túnel completo + desquinche  -Vol 107</v>
      </c>
    </row>
    <row r="330" spans="1:42" ht="15" customHeight="1" x14ac:dyDescent="0.3">
      <c r="A330" s="30">
        <v>193</v>
      </c>
      <c r="B330" s="12" t="s">
        <v>144</v>
      </c>
      <c r="C330">
        <v>2024</v>
      </c>
      <c r="D330" t="s">
        <v>238</v>
      </c>
      <c r="E330" s="16" t="s">
        <v>251</v>
      </c>
      <c r="F330" t="s">
        <v>221</v>
      </c>
      <c r="G330">
        <v>193</v>
      </c>
      <c r="H330">
        <f t="shared" si="29"/>
        <v>178</v>
      </c>
      <c r="I330">
        <v>178</v>
      </c>
      <c r="L330">
        <v>178</v>
      </c>
      <c r="O330">
        <f>Tabla5[[#This Row],[Taladros Simples]]+Tabla5[[#This Row],[Taladros Dobles]]+Tabla5[[#This Row],[Taladros Triples]]</f>
        <v>178</v>
      </c>
      <c r="R330" s="17">
        <v>159</v>
      </c>
      <c r="S330" s="17">
        <v>1782</v>
      </c>
      <c r="V330">
        <v>116</v>
      </c>
      <c r="W330">
        <v>600</v>
      </c>
      <c r="AF330" t="e">
        <f>-#REF!</f>
        <v>#REF!</v>
      </c>
      <c r="AP330" t="str">
        <f t="shared" si="31"/>
        <v>Túnel completo + banco-Vol 193</v>
      </c>
    </row>
    <row r="331" spans="1:42" ht="15" customHeight="1" x14ac:dyDescent="0.3">
      <c r="A331" s="30">
        <v>194</v>
      </c>
      <c r="B331" s="12" t="s">
        <v>144</v>
      </c>
      <c r="C331">
        <v>2024</v>
      </c>
      <c r="D331" t="s">
        <v>238</v>
      </c>
      <c r="E331" s="16" t="s">
        <v>251</v>
      </c>
      <c r="F331" t="s">
        <v>221</v>
      </c>
      <c r="G331">
        <v>194</v>
      </c>
      <c r="H331">
        <f t="shared" si="29"/>
        <v>171</v>
      </c>
      <c r="I331">
        <v>171</v>
      </c>
      <c r="L331">
        <v>171</v>
      </c>
      <c r="O331">
        <f>Tabla5[[#This Row],[Taladros Simples]]+Tabla5[[#This Row],[Taladros Dobles]]+Tabla5[[#This Row],[Taladros Triples]]</f>
        <v>171</v>
      </c>
      <c r="R331" s="17">
        <v>75</v>
      </c>
      <c r="S331" s="17">
        <v>1833</v>
      </c>
      <c r="V331">
        <v>166</v>
      </c>
      <c r="W331">
        <v>600</v>
      </c>
      <c r="AF331" t="e">
        <f>-#REF!</f>
        <v>#REF!</v>
      </c>
      <c r="AP331" t="str">
        <f t="shared" si="31"/>
        <v>Túnel completo + banco-Vol 194</v>
      </c>
    </row>
    <row r="332" spans="1:42" ht="15" customHeight="1" x14ac:dyDescent="0.3">
      <c r="A332" s="30">
        <v>108</v>
      </c>
      <c r="B332" s="12" t="s">
        <v>199</v>
      </c>
      <c r="C332">
        <v>2024</v>
      </c>
      <c r="D332" t="s">
        <v>238</v>
      </c>
      <c r="E332" s="16" t="s">
        <v>251</v>
      </c>
      <c r="F332" t="s">
        <v>247</v>
      </c>
      <c r="G332">
        <v>108</v>
      </c>
      <c r="H332">
        <f t="shared" si="29"/>
        <v>112</v>
      </c>
      <c r="I332">
        <v>112</v>
      </c>
      <c r="L332">
        <v>112</v>
      </c>
      <c r="O332">
        <f>Tabla5[[#This Row],[Taladros Simples]]+Tabla5[[#This Row],[Taladros Dobles]]+Tabla5[[#This Row],[Taladros Triples]]</f>
        <v>112</v>
      </c>
      <c r="R332" s="17">
        <v>157</v>
      </c>
      <c r="S332" s="17">
        <v>659</v>
      </c>
      <c r="V332">
        <v>100</v>
      </c>
      <c r="W332">
        <v>400</v>
      </c>
      <c r="AF332" t="e">
        <f>-#REF!</f>
        <v>#REF!</v>
      </c>
      <c r="AP332" t="str">
        <f t="shared" si="31"/>
        <v>Túnel completo + desquinche  -Vol 108</v>
      </c>
    </row>
    <row r="333" spans="1:42" ht="15" customHeight="1" x14ac:dyDescent="0.3">
      <c r="A333" s="30">
        <v>195</v>
      </c>
      <c r="B333" s="12" t="s">
        <v>144</v>
      </c>
      <c r="C333">
        <v>2024</v>
      </c>
      <c r="D333" t="s">
        <v>238</v>
      </c>
      <c r="E333" s="16" t="s">
        <v>252</v>
      </c>
      <c r="F333" t="s">
        <v>221</v>
      </c>
      <c r="G333">
        <v>195</v>
      </c>
      <c r="H333">
        <f t="shared" si="29"/>
        <v>172</v>
      </c>
      <c r="I333">
        <v>172</v>
      </c>
      <c r="L333">
        <v>172</v>
      </c>
      <c r="O333">
        <f>Tabla5[[#This Row],[Taladros Simples]]+Tabla5[[#This Row],[Taladros Dobles]]+Tabla5[[#This Row],[Taladros Triples]]</f>
        <v>172</v>
      </c>
      <c r="R333" s="17">
        <v>72</v>
      </c>
      <c r="S333" s="17">
        <v>1699</v>
      </c>
      <c r="V333">
        <v>182</v>
      </c>
      <c r="W333">
        <v>400</v>
      </c>
      <c r="AF333" t="e">
        <f>-#REF!</f>
        <v>#REF!</v>
      </c>
      <c r="AP333" t="str">
        <f t="shared" si="31"/>
        <v>Túnel completo + banco-Vol 195</v>
      </c>
    </row>
    <row r="334" spans="1:42" ht="15" customHeight="1" x14ac:dyDescent="0.3">
      <c r="A334" s="30">
        <v>109</v>
      </c>
      <c r="B334" s="12" t="s">
        <v>199</v>
      </c>
      <c r="C334">
        <v>2024</v>
      </c>
      <c r="D334" t="s">
        <v>238</v>
      </c>
      <c r="E334" s="16" t="s">
        <v>252</v>
      </c>
      <c r="F334" t="s">
        <v>247</v>
      </c>
      <c r="G334">
        <v>109</v>
      </c>
      <c r="H334">
        <f t="shared" si="29"/>
        <v>123</v>
      </c>
      <c r="I334">
        <f>+Tabla5[[#This Row],[N°TOTAL TALADROS CARGADOS]]</f>
        <v>123</v>
      </c>
      <c r="L334">
        <v>123</v>
      </c>
      <c r="O334">
        <f>Tabla5[[#This Row],[Taladros Simples]]+Tabla5[[#This Row],[Taladros Dobles]]+Tabla5[[#This Row],[Taladros Triples]]</f>
        <v>123</v>
      </c>
      <c r="R334" s="17">
        <v>109</v>
      </c>
      <c r="S334" s="17">
        <v>867</v>
      </c>
      <c r="V334">
        <v>100</v>
      </c>
      <c r="W334">
        <v>400</v>
      </c>
      <c r="AF334" t="e">
        <f>-#REF!</f>
        <v>#REF!</v>
      </c>
      <c r="AP334" t="str">
        <f t="shared" si="31"/>
        <v>Túnel completo + desquinche  -Vol 109</v>
      </c>
    </row>
    <row r="335" spans="1:42" ht="15" customHeight="1" x14ac:dyDescent="0.3">
      <c r="A335" s="30">
        <v>110</v>
      </c>
      <c r="B335" s="12" t="s">
        <v>199</v>
      </c>
      <c r="C335">
        <v>2024</v>
      </c>
      <c r="D335" t="s">
        <v>231</v>
      </c>
      <c r="E335" s="16">
        <v>45503</v>
      </c>
      <c r="F335" t="s">
        <v>184</v>
      </c>
      <c r="G335">
        <v>110</v>
      </c>
      <c r="H335">
        <f t="shared" si="29"/>
        <v>112</v>
      </c>
      <c r="I335">
        <f>+Tabla5[[#This Row],[N°TOTAL TALADROS CARGADOS]]</f>
        <v>112</v>
      </c>
      <c r="L335">
        <v>112</v>
      </c>
      <c r="O335">
        <f>Tabla5[[#This Row],[Taladros Simples]]+Tabla5[[#This Row],[Taladros Dobles]]+Tabla5[[#This Row],[Taladros Triples]]</f>
        <v>112</v>
      </c>
      <c r="R335" s="17">
        <v>77</v>
      </c>
      <c r="S335" s="17">
        <v>649</v>
      </c>
      <c r="V335">
        <v>100</v>
      </c>
      <c r="W335">
        <v>200</v>
      </c>
      <c r="AF335" t="e">
        <f>-#REF!</f>
        <v>#REF!</v>
      </c>
      <c r="AP335" t="str">
        <f t="shared" si="31"/>
        <v>Túnel completo-Vol 110</v>
      </c>
    </row>
    <row r="336" spans="1:42" ht="15" customHeight="1" x14ac:dyDescent="0.3">
      <c r="A336" s="30">
        <v>196</v>
      </c>
      <c r="B336" s="12" t="s">
        <v>144</v>
      </c>
      <c r="C336">
        <v>2024</v>
      </c>
      <c r="D336" t="s">
        <v>253</v>
      </c>
      <c r="E336" s="16" t="s">
        <v>252</v>
      </c>
      <c r="F336" t="s">
        <v>247</v>
      </c>
      <c r="G336">
        <v>196</v>
      </c>
      <c r="H336">
        <f t="shared" si="29"/>
        <v>196</v>
      </c>
      <c r="I336">
        <v>196</v>
      </c>
      <c r="L336">
        <v>196</v>
      </c>
      <c r="O336">
        <f>Tabla5[[#This Row],[Taladros Simples]]+Tabla5[[#This Row],[Taladros Dobles]]+Tabla5[[#This Row],[Taladros Triples]]</f>
        <v>196</v>
      </c>
      <c r="R336" s="17">
        <v>381</v>
      </c>
      <c r="S336" s="17">
        <v>1728</v>
      </c>
      <c r="V336">
        <v>100</v>
      </c>
      <c r="W336">
        <v>600</v>
      </c>
      <c r="AF336" t="e">
        <f>-#REF!</f>
        <v>#REF!</v>
      </c>
      <c r="AP336" t="str">
        <f t="shared" si="31"/>
        <v>Túnel completo + desquinche  -Vol 196</v>
      </c>
    </row>
    <row r="337" spans="1:42" ht="15" customHeight="1" x14ac:dyDescent="0.3">
      <c r="A337" s="30">
        <v>111</v>
      </c>
      <c r="B337" s="12" t="s">
        <v>199</v>
      </c>
      <c r="C337">
        <v>2024</v>
      </c>
      <c r="D337" t="s">
        <v>231</v>
      </c>
      <c r="E337" s="16">
        <v>45504</v>
      </c>
      <c r="F337" t="s">
        <v>247</v>
      </c>
      <c r="G337">
        <v>111</v>
      </c>
      <c r="H337">
        <f t="shared" si="29"/>
        <v>143</v>
      </c>
      <c r="I337">
        <f>+Tabla5[[#This Row],[N°TOTAL TALADROS CARGADOS]]</f>
        <v>143</v>
      </c>
      <c r="L337">
        <v>143</v>
      </c>
      <c r="O337">
        <f>Tabla5[[#This Row],[Taladros Simples]]+Tabla5[[#This Row],[Taladros Dobles]]+Tabla5[[#This Row],[Taladros Triples]]</f>
        <v>143</v>
      </c>
      <c r="S337" s="17">
        <v>1007</v>
      </c>
      <c r="V337">
        <v>100</v>
      </c>
      <c r="W337">
        <v>400</v>
      </c>
      <c r="AF337" t="e">
        <f>-#REF!</f>
        <v>#REF!</v>
      </c>
      <c r="AP337" t="str">
        <f t="shared" si="31"/>
        <v>Túnel completo + desquinche  -Vol 111</v>
      </c>
    </row>
    <row r="338" spans="1:42" ht="15" customHeight="1" x14ac:dyDescent="0.3">
      <c r="A338" s="30">
        <v>197</v>
      </c>
      <c r="B338" s="12" t="s">
        <v>144</v>
      </c>
      <c r="C338">
        <v>2024</v>
      </c>
      <c r="D338" t="s">
        <v>231</v>
      </c>
      <c r="E338" s="16">
        <v>45504</v>
      </c>
      <c r="F338" t="s">
        <v>184</v>
      </c>
      <c r="G338">
        <v>197</v>
      </c>
      <c r="H338">
        <f t="shared" si="29"/>
        <v>188</v>
      </c>
      <c r="I338">
        <f>+Tabla5[[#This Row],[N°TOTAL TALADROS CARGADOS]]</f>
        <v>188</v>
      </c>
      <c r="L338">
        <v>188</v>
      </c>
      <c r="O338">
        <f>Tabla5[[#This Row],[Taladros Simples]]+Tabla5[[#This Row],[Taladros Dobles]]+Tabla5[[#This Row],[Taladros Triples]]</f>
        <v>188</v>
      </c>
      <c r="R338" s="17">
        <v>217</v>
      </c>
      <c r="S338" s="17">
        <v>1582</v>
      </c>
      <c r="V338">
        <v>104</v>
      </c>
      <c r="W338">
        <v>400</v>
      </c>
      <c r="AF338" t="e">
        <f>-#REF!</f>
        <v>#REF!</v>
      </c>
      <c r="AP338" t="str">
        <f t="shared" si="31"/>
        <v>Túnel completo-Vol 197</v>
      </c>
    </row>
    <row r="339" spans="1:42" ht="15" customHeight="1" x14ac:dyDescent="0.3">
      <c r="A339" s="30">
        <v>112</v>
      </c>
      <c r="B339" s="12" t="s">
        <v>199</v>
      </c>
      <c r="C339">
        <v>2024</v>
      </c>
      <c r="D339" t="s">
        <v>231</v>
      </c>
      <c r="E339" s="16">
        <v>45504</v>
      </c>
      <c r="F339" t="s">
        <v>247</v>
      </c>
      <c r="G339">
        <v>112</v>
      </c>
      <c r="H339">
        <f t="shared" si="29"/>
        <v>142</v>
      </c>
      <c r="I339">
        <f>+Tabla5[[#This Row],[N°TOTAL TALADROS CARGADOS]]</f>
        <v>142</v>
      </c>
      <c r="L339">
        <v>142</v>
      </c>
      <c r="O339">
        <f>Tabla5[[#This Row],[Taladros Simples]]+Tabla5[[#This Row],[Taladros Dobles]]+Tabla5[[#This Row],[Taladros Triples]]</f>
        <v>142</v>
      </c>
      <c r="R339" s="17">
        <v>134</v>
      </c>
      <c r="S339" s="17">
        <v>1056</v>
      </c>
      <c r="V339">
        <v>100</v>
      </c>
      <c r="W339">
        <v>400</v>
      </c>
      <c r="AF339" t="e">
        <f>-#REF!</f>
        <v>#REF!</v>
      </c>
      <c r="AP339" t="str">
        <f t="shared" si="31"/>
        <v>Túnel completo + desquinche  -Vol 112</v>
      </c>
    </row>
    <row r="340" spans="1:42" ht="15" customHeight="1" x14ac:dyDescent="0.3">
      <c r="A340" s="30">
        <v>198</v>
      </c>
      <c r="B340" s="12" t="s">
        <v>144</v>
      </c>
      <c r="C340">
        <v>2024</v>
      </c>
      <c r="D340" t="s">
        <v>238</v>
      </c>
      <c r="E340" s="16" t="s">
        <v>254</v>
      </c>
      <c r="F340" t="s">
        <v>221</v>
      </c>
      <c r="G340">
        <v>179</v>
      </c>
      <c r="H340">
        <f t="shared" si="29"/>
        <v>179</v>
      </c>
      <c r="I340">
        <v>179</v>
      </c>
      <c r="L340">
        <v>179</v>
      </c>
      <c r="O340">
        <f>Tabla5[[#This Row],[Taladros Simples]]+Tabla5[[#This Row],[Taladros Dobles]]+Tabla5[[#This Row],[Taladros Triples]]</f>
        <v>179</v>
      </c>
      <c r="R340" s="17">
        <v>168</v>
      </c>
      <c r="S340" s="17">
        <v>1709</v>
      </c>
      <c r="V340">
        <v>170</v>
      </c>
      <c r="W340">
        <v>600</v>
      </c>
      <c r="AF340" t="e">
        <f>-#REF!</f>
        <v>#REF!</v>
      </c>
      <c r="AP340" t="str">
        <f t="shared" si="31"/>
        <v>Túnel completo + banco-Vol 179</v>
      </c>
    </row>
    <row r="341" spans="1:42" ht="15" customHeight="1" x14ac:dyDescent="0.3">
      <c r="A341" s="30">
        <v>113</v>
      </c>
      <c r="B341" s="12" t="s">
        <v>199</v>
      </c>
      <c r="C341">
        <v>2024</v>
      </c>
      <c r="D341" t="s">
        <v>255</v>
      </c>
      <c r="E341" s="16">
        <v>45505</v>
      </c>
      <c r="F341" t="s">
        <v>247</v>
      </c>
      <c r="G341">
        <v>113</v>
      </c>
      <c r="H341">
        <f t="shared" si="29"/>
        <v>136</v>
      </c>
      <c r="I341">
        <f>+Tabla5[[#This Row],[N°TOTAL TALADROS CARGADOS]]</f>
        <v>136</v>
      </c>
      <c r="L341">
        <v>136</v>
      </c>
      <c r="O341">
        <f>Tabla5[[#This Row],[Taladros Simples]]+Tabla5[[#This Row],[Taladros Dobles]]+Tabla5[[#This Row],[Taladros Triples]]</f>
        <v>136</v>
      </c>
      <c r="R341" s="17">
        <v>184</v>
      </c>
      <c r="S341" s="17">
        <v>1332</v>
      </c>
      <c r="V341">
        <v>115</v>
      </c>
      <c r="W341">
        <v>400</v>
      </c>
      <c r="AF341" t="e">
        <f>-#REF!</f>
        <v>#REF!</v>
      </c>
      <c r="AP341" t="str">
        <f t="shared" si="31"/>
        <v>Túnel completo + desquinche  -Vol 113</v>
      </c>
    </row>
    <row r="342" spans="1:42" ht="15" customHeight="1" x14ac:dyDescent="0.3">
      <c r="A342" s="30">
        <v>199</v>
      </c>
      <c r="B342" s="12" t="s">
        <v>144</v>
      </c>
      <c r="C342">
        <v>2024</v>
      </c>
      <c r="D342" t="s">
        <v>255</v>
      </c>
      <c r="E342" s="16">
        <v>45505</v>
      </c>
      <c r="F342" t="s">
        <v>221</v>
      </c>
      <c r="G342">
        <v>199</v>
      </c>
      <c r="H342">
        <v>184</v>
      </c>
      <c r="I342">
        <v>0</v>
      </c>
      <c r="K342">
        <v>184</v>
      </c>
      <c r="L342">
        <v>184</v>
      </c>
      <c r="O342">
        <f>Tabla5[[#This Row],[Taladros Simples]]+Tabla5[[#This Row],[Taladros Dobles]]+Tabla5[[#This Row],[Taladros Triples]]</f>
        <v>184</v>
      </c>
      <c r="R342" s="17">
        <v>196</v>
      </c>
      <c r="S342" s="17">
        <v>1673</v>
      </c>
      <c r="V342">
        <v>155</v>
      </c>
      <c r="W342">
        <v>0</v>
      </c>
      <c r="X342">
        <v>600</v>
      </c>
      <c r="AF342" t="e">
        <f>-#REF!</f>
        <v>#REF!</v>
      </c>
      <c r="AP342" t="str">
        <f t="shared" si="31"/>
        <v>Túnel completo + banco-Vol 199</v>
      </c>
    </row>
    <row r="343" spans="1:42" ht="15" customHeight="1" x14ac:dyDescent="0.3">
      <c r="A343" s="30">
        <v>114</v>
      </c>
      <c r="B343" s="12" t="s">
        <v>199</v>
      </c>
      <c r="C343">
        <v>2024</v>
      </c>
      <c r="D343" t="s">
        <v>255</v>
      </c>
      <c r="E343" s="16">
        <v>45505</v>
      </c>
      <c r="F343" t="s">
        <v>247</v>
      </c>
      <c r="G343">
        <v>114</v>
      </c>
      <c r="H343">
        <f t="shared" si="29"/>
        <v>136</v>
      </c>
      <c r="I343">
        <f>+Tabla5[[#This Row],[N°TOTAL TALADROS CARGADOS]]</f>
        <v>136</v>
      </c>
      <c r="L343">
        <v>136</v>
      </c>
      <c r="O343">
        <f>Tabla5[[#This Row],[Taladros Simples]]+Tabla5[[#This Row],[Taladros Dobles]]+Tabla5[[#This Row],[Taladros Triples]]</f>
        <v>136</v>
      </c>
      <c r="R343" s="17">
        <v>95</v>
      </c>
      <c r="S343" s="17">
        <v>1111</v>
      </c>
      <c r="V343">
        <v>120</v>
      </c>
      <c r="W343">
        <v>400</v>
      </c>
      <c r="X343">
        <v>0</v>
      </c>
      <c r="AF343" t="e">
        <f>-#REF!</f>
        <v>#REF!</v>
      </c>
      <c r="AP343" t="str">
        <f t="shared" si="31"/>
        <v>Túnel completo + desquinche  -Vol 114</v>
      </c>
    </row>
    <row r="344" spans="1:42" ht="15" customHeight="1" x14ac:dyDescent="0.3">
      <c r="A344" s="30">
        <v>200</v>
      </c>
      <c r="B344" s="12" t="s">
        <v>144</v>
      </c>
      <c r="C344">
        <v>2024</v>
      </c>
      <c r="D344" t="s">
        <v>255</v>
      </c>
      <c r="E344" s="16">
        <v>45505</v>
      </c>
      <c r="F344" t="s">
        <v>221</v>
      </c>
      <c r="G344">
        <v>200</v>
      </c>
      <c r="H344">
        <v>186</v>
      </c>
      <c r="I344">
        <v>0</v>
      </c>
      <c r="K344">
        <v>186</v>
      </c>
      <c r="L344">
        <v>186</v>
      </c>
      <c r="O344">
        <f>Tabla5[[#This Row],[Taladros Simples]]+Tabla5[[#This Row],[Taladros Dobles]]+Tabla5[[#This Row],[Taladros Triples]]</f>
        <v>186</v>
      </c>
      <c r="R344" s="17">
        <v>334</v>
      </c>
      <c r="S344" s="17">
        <v>1763</v>
      </c>
      <c r="V344">
        <v>200</v>
      </c>
      <c r="W344">
        <v>0</v>
      </c>
      <c r="X344">
        <v>600</v>
      </c>
      <c r="AF344" t="e">
        <f>-#REF!</f>
        <v>#REF!</v>
      </c>
      <c r="AP344" t="str">
        <f t="shared" si="31"/>
        <v>Túnel completo + banco-Vol 200</v>
      </c>
    </row>
    <row r="345" spans="1:42" ht="15" customHeight="1" x14ac:dyDescent="0.3">
      <c r="A345" s="30">
        <v>115</v>
      </c>
      <c r="B345" s="12" t="s">
        <v>199</v>
      </c>
      <c r="C345">
        <v>2024</v>
      </c>
      <c r="D345" t="s">
        <v>255</v>
      </c>
      <c r="E345" s="16">
        <v>45506</v>
      </c>
      <c r="F345" t="s">
        <v>247</v>
      </c>
      <c r="G345">
        <v>115</v>
      </c>
      <c r="H345">
        <f t="shared" si="29"/>
        <v>138</v>
      </c>
      <c r="I345">
        <f>+Tabla5[[#This Row],[N°TOTAL TALADROS CARGADOS]]</f>
        <v>138</v>
      </c>
      <c r="L345">
        <v>138</v>
      </c>
      <c r="O345">
        <f>Tabla5[[#This Row],[Taladros Simples]]+Tabla5[[#This Row],[Taladros Dobles]]+Tabla5[[#This Row],[Taladros Triples]]</f>
        <v>138</v>
      </c>
      <c r="R345" s="17">
        <v>77</v>
      </c>
      <c r="S345" s="17">
        <v>1376</v>
      </c>
      <c r="V345">
        <v>0</v>
      </c>
      <c r="W345">
        <v>400</v>
      </c>
      <c r="X345">
        <v>0</v>
      </c>
      <c r="AF345" t="e">
        <f>-#REF!</f>
        <v>#REF!</v>
      </c>
      <c r="AP345" t="str">
        <f t="shared" si="31"/>
        <v>Túnel completo + desquinche  -Vol 115</v>
      </c>
    </row>
    <row r="346" spans="1:42" ht="15" customHeight="1" x14ac:dyDescent="0.3">
      <c r="A346" s="30">
        <v>201</v>
      </c>
      <c r="B346" s="12" t="s">
        <v>144</v>
      </c>
      <c r="C346">
        <v>2024</v>
      </c>
      <c r="D346" t="s">
        <v>255</v>
      </c>
      <c r="E346" s="16">
        <v>45506</v>
      </c>
      <c r="F346" t="s">
        <v>221</v>
      </c>
      <c r="G346">
        <v>201</v>
      </c>
      <c r="H346">
        <v>185</v>
      </c>
      <c r="I346">
        <v>0</v>
      </c>
      <c r="K346">
        <v>185</v>
      </c>
      <c r="L346">
        <v>185</v>
      </c>
      <c r="O346">
        <f>Tabla5[[#This Row],[Taladros Simples]]+Tabla5[[#This Row],[Taladros Dobles]]+Tabla5[[#This Row],[Taladros Triples]]</f>
        <v>185</v>
      </c>
      <c r="R346" s="17">
        <v>352</v>
      </c>
      <c r="S346" s="17">
        <v>1682</v>
      </c>
      <c r="V346">
        <v>152</v>
      </c>
      <c r="W346">
        <v>0</v>
      </c>
      <c r="X346">
        <v>600</v>
      </c>
      <c r="AF346" t="e">
        <f>-#REF!</f>
        <v>#REF!</v>
      </c>
      <c r="AP346" t="str">
        <f t="shared" si="31"/>
        <v>Túnel completo + banco-Vol 201</v>
      </c>
    </row>
    <row r="347" spans="1:42" ht="15" customHeight="1" x14ac:dyDescent="0.3">
      <c r="A347" s="30">
        <v>116</v>
      </c>
      <c r="B347" s="12" t="s">
        <v>199</v>
      </c>
      <c r="C347">
        <v>2024</v>
      </c>
      <c r="D347" t="s">
        <v>255</v>
      </c>
      <c r="E347" s="16">
        <v>45506</v>
      </c>
      <c r="F347" t="s">
        <v>247</v>
      </c>
      <c r="G347">
        <v>116</v>
      </c>
      <c r="H347">
        <f t="shared" si="29"/>
        <v>141</v>
      </c>
      <c r="I347">
        <f>+Tabla5[[#This Row],[N°TOTAL TALADROS CARGADOS]]</f>
        <v>141</v>
      </c>
      <c r="L347">
        <v>141</v>
      </c>
      <c r="O347">
        <f>Tabla5[[#This Row],[Taladros Simples]]+Tabla5[[#This Row],[Taladros Dobles]]+Tabla5[[#This Row],[Taladros Triples]]</f>
        <v>141</v>
      </c>
      <c r="R347" s="17">
        <v>116</v>
      </c>
      <c r="S347" s="17">
        <v>1346</v>
      </c>
      <c r="V347">
        <v>115</v>
      </c>
      <c r="W347">
        <v>400</v>
      </c>
      <c r="X347">
        <v>0</v>
      </c>
      <c r="AF347" t="e">
        <f>-#REF!</f>
        <v>#REF!</v>
      </c>
      <c r="AP347" t="str">
        <f t="shared" si="31"/>
        <v>Túnel completo + desquinche  -Vol 116</v>
      </c>
    </row>
    <row r="348" spans="1:42" ht="15" customHeight="1" x14ac:dyDescent="0.3">
      <c r="A348" s="30">
        <v>202</v>
      </c>
      <c r="B348" s="12" t="s">
        <v>144</v>
      </c>
      <c r="C348">
        <v>2024</v>
      </c>
      <c r="D348" t="s">
        <v>255</v>
      </c>
      <c r="E348" s="16">
        <v>45506</v>
      </c>
      <c r="F348" t="s">
        <v>221</v>
      </c>
      <c r="G348">
        <v>202</v>
      </c>
      <c r="H348">
        <v>200</v>
      </c>
      <c r="I348">
        <v>0</v>
      </c>
      <c r="K348">
        <v>200</v>
      </c>
      <c r="L348">
        <v>200</v>
      </c>
      <c r="O348">
        <f>Tabla5[[#This Row],[Taladros Simples]]+Tabla5[[#This Row],[Taladros Dobles]]+Tabla5[[#This Row],[Taladros Triples]]</f>
        <v>200</v>
      </c>
      <c r="R348" s="17">
        <v>491</v>
      </c>
      <c r="S348" s="17">
        <v>1723</v>
      </c>
      <c r="V348">
        <v>104</v>
      </c>
      <c r="W348">
        <v>0</v>
      </c>
      <c r="X348">
        <v>600</v>
      </c>
      <c r="AF348" t="e">
        <f>-#REF!</f>
        <v>#REF!</v>
      </c>
      <c r="AP348" t="str">
        <f t="shared" si="31"/>
        <v>Túnel completo + banco-Vol 202</v>
      </c>
    </row>
    <row r="349" spans="1:42" ht="15" customHeight="1" x14ac:dyDescent="0.3">
      <c r="A349" s="30">
        <v>117</v>
      </c>
      <c r="B349" s="12" t="s">
        <v>199</v>
      </c>
      <c r="C349">
        <v>2024</v>
      </c>
      <c r="D349" t="s">
        <v>255</v>
      </c>
      <c r="E349" s="16">
        <v>45507</v>
      </c>
      <c r="F349" t="s">
        <v>247</v>
      </c>
      <c r="G349">
        <v>117</v>
      </c>
      <c r="H349">
        <f t="shared" ref="H349:H373" si="32">K349</f>
        <v>163</v>
      </c>
      <c r="I349">
        <v>0</v>
      </c>
      <c r="K349">
        <v>163</v>
      </c>
      <c r="L349">
        <v>163</v>
      </c>
      <c r="O349">
        <f>Tabla5[[#This Row],[Taladros Simples]]+Tabla5[[#This Row],[Taladros Dobles]]+Tabla5[[#This Row],[Taladros Triples]]</f>
        <v>163</v>
      </c>
      <c r="R349" s="17">
        <v>154</v>
      </c>
      <c r="S349" s="17">
        <v>1481</v>
      </c>
      <c r="V349">
        <v>200</v>
      </c>
      <c r="W349">
        <v>0</v>
      </c>
      <c r="X349">
        <v>400</v>
      </c>
      <c r="AF349" t="e">
        <f>-#REF!</f>
        <v>#REF!</v>
      </c>
      <c r="AP349" t="str">
        <f t="shared" si="31"/>
        <v>Túnel completo + desquinche  -Vol 117</v>
      </c>
    </row>
    <row r="350" spans="1:42" ht="15" customHeight="1" x14ac:dyDescent="0.3">
      <c r="A350" s="30">
        <v>203</v>
      </c>
      <c r="B350" s="12" t="s">
        <v>144</v>
      </c>
      <c r="C350">
        <v>2024</v>
      </c>
      <c r="D350" t="s">
        <v>255</v>
      </c>
      <c r="E350" s="16">
        <v>45507</v>
      </c>
      <c r="F350" t="s">
        <v>221</v>
      </c>
      <c r="G350">
        <v>203</v>
      </c>
      <c r="H350">
        <f t="shared" si="32"/>
        <v>161</v>
      </c>
      <c r="I350">
        <v>0</v>
      </c>
      <c r="K350">
        <v>161</v>
      </c>
      <c r="L350">
        <v>161</v>
      </c>
      <c r="O350">
        <f>Tabla5[[#This Row],[Taladros Simples]]+Tabla5[[#This Row],[Taladros Dobles]]+Tabla5[[#This Row],[Taladros Triples]]</f>
        <v>161</v>
      </c>
      <c r="R350" s="17">
        <v>94</v>
      </c>
      <c r="S350" s="17">
        <v>1296</v>
      </c>
      <c r="V350">
        <v>200</v>
      </c>
      <c r="W350">
        <v>0</v>
      </c>
      <c r="X350">
        <v>600</v>
      </c>
      <c r="AF350" t="e">
        <f>-#REF!</f>
        <v>#REF!</v>
      </c>
      <c r="AP350" t="str">
        <f t="shared" si="31"/>
        <v>Túnel completo + banco-Vol 203</v>
      </c>
    </row>
    <row r="351" spans="1:42" ht="15" customHeight="1" x14ac:dyDescent="0.3">
      <c r="A351" s="30">
        <v>118</v>
      </c>
      <c r="B351" s="12" t="s">
        <v>199</v>
      </c>
      <c r="C351">
        <v>2024</v>
      </c>
      <c r="D351" t="s">
        <v>255</v>
      </c>
      <c r="E351" s="16">
        <v>45507</v>
      </c>
      <c r="F351" t="s">
        <v>184</v>
      </c>
      <c r="G351">
        <v>118</v>
      </c>
      <c r="H351">
        <f t="shared" si="32"/>
        <v>141</v>
      </c>
      <c r="I351">
        <v>0</v>
      </c>
      <c r="K351">
        <v>141</v>
      </c>
      <c r="L351">
        <v>141</v>
      </c>
      <c r="O351">
        <f>Tabla5[[#This Row],[Taladros Simples]]+Tabla5[[#This Row],[Taladros Dobles]]+Tabla5[[#This Row],[Taladros Triples]]</f>
        <v>141</v>
      </c>
      <c r="R351" s="17">
        <v>187</v>
      </c>
      <c r="S351" s="17">
        <v>1452</v>
      </c>
      <c r="V351">
        <v>189</v>
      </c>
      <c r="W351">
        <v>0</v>
      </c>
      <c r="X351">
        <v>200</v>
      </c>
      <c r="AF351" t="e">
        <f>-#REF!</f>
        <v>#REF!</v>
      </c>
      <c r="AP351" t="str">
        <f t="shared" si="31"/>
        <v>Túnel completo-Vol 118</v>
      </c>
    </row>
    <row r="352" spans="1:42" ht="15" customHeight="1" x14ac:dyDescent="0.3">
      <c r="A352" s="30">
        <v>204</v>
      </c>
      <c r="B352" s="12" t="s">
        <v>144</v>
      </c>
      <c r="C352">
        <v>2024</v>
      </c>
      <c r="D352" t="s">
        <v>255</v>
      </c>
      <c r="E352" s="16">
        <v>45507</v>
      </c>
      <c r="F352" t="s">
        <v>221</v>
      </c>
      <c r="G352">
        <v>204</v>
      </c>
      <c r="H352">
        <f t="shared" si="32"/>
        <v>169</v>
      </c>
      <c r="I352">
        <v>0</v>
      </c>
      <c r="K352">
        <v>169</v>
      </c>
      <c r="L352">
        <v>169</v>
      </c>
      <c r="O352">
        <f>Tabla5[[#This Row],[Taladros Simples]]+Tabla5[[#This Row],[Taladros Dobles]]+Tabla5[[#This Row],[Taladros Triples]]</f>
        <v>169</v>
      </c>
      <c r="R352" s="17">
        <v>338</v>
      </c>
      <c r="S352" s="17">
        <v>1322</v>
      </c>
      <c r="V352">
        <v>95</v>
      </c>
      <c r="W352">
        <v>0</v>
      </c>
      <c r="X352">
        <v>600</v>
      </c>
      <c r="AF352" t="e">
        <f>-#REF!</f>
        <v>#REF!</v>
      </c>
      <c r="AP352" t="str">
        <f t="shared" si="31"/>
        <v>Túnel completo + banco-Vol 204</v>
      </c>
    </row>
    <row r="353" spans="1:42" ht="15" customHeight="1" x14ac:dyDescent="0.3">
      <c r="A353" s="30">
        <v>119</v>
      </c>
      <c r="B353" s="12" t="s">
        <v>199</v>
      </c>
      <c r="C353">
        <v>2024</v>
      </c>
      <c r="D353" t="s">
        <v>255</v>
      </c>
      <c r="E353" s="16">
        <v>45508</v>
      </c>
      <c r="F353" t="s">
        <v>221</v>
      </c>
      <c r="G353">
        <v>119</v>
      </c>
      <c r="H353">
        <f t="shared" si="32"/>
        <v>148</v>
      </c>
      <c r="I353">
        <v>0</v>
      </c>
      <c r="K353">
        <v>148</v>
      </c>
      <c r="L353">
        <v>148</v>
      </c>
      <c r="O353">
        <f>Tabla5[[#This Row],[Taladros Simples]]+Tabla5[[#This Row],[Taladros Dobles]]+Tabla5[[#This Row],[Taladros Triples]]</f>
        <v>148</v>
      </c>
      <c r="R353" s="17">
        <v>90</v>
      </c>
      <c r="S353" s="17">
        <v>1621</v>
      </c>
      <c r="V353">
        <v>200</v>
      </c>
      <c r="W353">
        <v>0</v>
      </c>
      <c r="X353">
        <v>400</v>
      </c>
      <c r="AF353" t="e">
        <f>-#REF!</f>
        <v>#REF!</v>
      </c>
      <c r="AP353" t="str">
        <f t="shared" si="31"/>
        <v>Túnel completo + banco-Vol 119</v>
      </c>
    </row>
    <row r="354" spans="1:42" ht="15" customHeight="1" x14ac:dyDescent="0.3">
      <c r="A354" s="30">
        <v>205</v>
      </c>
      <c r="B354" s="12" t="s">
        <v>144</v>
      </c>
      <c r="C354">
        <v>2024</v>
      </c>
      <c r="D354" t="s">
        <v>256</v>
      </c>
      <c r="E354" s="16">
        <v>45508</v>
      </c>
      <c r="F354" t="s">
        <v>221</v>
      </c>
      <c r="G354">
        <v>205</v>
      </c>
      <c r="H354">
        <f t="shared" si="32"/>
        <v>162</v>
      </c>
      <c r="I354">
        <v>0</v>
      </c>
      <c r="K354">
        <v>162</v>
      </c>
      <c r="L354">
        <v>162</v>
      </c>
      <c r="O354">
        <f>Tabla5[[#This Row],[Taladros Simples]]+Tabla5[[#This Row],[Taladros Dobles]]+Tabla5[[#This Row],[Taladros Triples]]</f>
        <v>162</v>
      </c>
      <c r="R354" s="17">
        <v>230</v>
      </c>
      <c r="S354" s="17">
        <v>1039</v>
      </c>
      <c r="V354">
        <v>150</v>
      </c>
      <c r="W354">
        <v>0</v>
      </c>
      <c r="X354">
        <v>400</v>
      </c>
      <c r="AF354" t="e">
        <f>-#REF!</f>
        <v>#REF!</v>
      </c>
      <c r="AP354" t="str">
        <f t="shared" si="31"/>
        <v>Túnel completo + banco-Vol 205</v>
      </c>
    </row>
    <row r="355" spans="1:42" ht="15" customHeight="1" x14ac:dyDescent="0.3">
      <c r="A355" s="30">
        <v>120</v>
      </c>
      <c r="B355" s="12" t="s">
        <v>199</v>
      </c>
      <c r="C355">
        <v>2024</v>
      </c>
      <c r="D355" t="s">
        <v>255</v>
      </c>
      <c r="E355" s="16">
        <v>45508</v>
      </c>
      <c r="F355" t="s">
        <v>184</v>
      </c>
      <c r="G355">
        <v>120</v>
      </c>
      <c r="H355">
        <f t="shared" si="32"/>
        <v>132</v>
      </c>
      <c r="I355">
        <v>0</v>
      </c>
      <c r="K355">
        <v>132</v>
      </c>
      <c r="L355">
        <v>132</v>
      </c>
      <c r="O355">
        <f>Tabla5[[#This Row],[Taladros Simples]]+Tabla5[[#This Row],[Taladros Dobles]]+Tabla5[[#This Row],[Taladros Triples]]</f>
        <v>132</v>
      </c>
      <c r="R355" s="17">
        <v>180</v>
      </c>
      <c r="S355" s="17">
        <v>1318</v>
      </c>
      <c r="V355">
        <v>200</v>
      </c>
      <c r="W355">
        <v>0</v>
      </c>
      <c r="X355">
        <v>400</v>
      </c>
      <c r="AF355" t="e">
        <f>-#REF!</f>
        <v>#REF!</v>
      </c>
      <c r="AP355" t="str">
        <f t="shared" si="31"/>
        <v>Túnel completo-Vol 120</v>
      </c>
    </row>
    <row r="356" spans="1:42" ht="15" customHeight="1" x14ac:dyDescent="0.3">
      <c r="A356" s="30">
        <v>206</v>
      </c>
      <c r="B356" s="12" t="s">
        <v>144</v>
      </c>
      <c r="C356">
        <v>2024</v>
      </c>
      <c r="D356" t="s">
        <v>255</v>
      </c>
      <c r="E356" s="16">
        <v>45508</v>
      </c>
      <c r="F356" t="s">
        <v>184</v>
      </c>
      <c r="G356">
        <v>206</v>
      </c>
      <c r="H356">
        <f t="shared" si="32"/>
        <v>112</v>
      </c>
      <c r="I356">
        <v>0</v>
      </c>
      <c r="K356">
        <v>112</v>
      </c>
      <c r="L356">
        <v>112</v>
      </c>
      <c r="O356">
        <f>Tabla5[[#This Row],[Taladros Simples]]+Tabla5[[#This Row],[Taladros Dobles]]+Tabla5[[#This Row],[Taladros Triples]]</f>
        <v>112</v>
      </c>
      <c r="R356" s="17">
        <v>93</v>
      </c>
      <c r="S356" s="17">
        <v>707</v>
      </c>
      <c r="V356">
        <v>70</v>
      </c>
      <c r="W356">
        <v>0</v>
      </c>
      <c r="X356">
        <v>0</v>
      </c>
      <c r="AF356" t="e">
        <f>-#REF!</f>
        <v>#REF!</v>
      </c>
      <c r="AP356" t="str">
        <f t="shared" si="31"/>
        <v>Túnel completo-Vol 206</v>
      </c>
    </row>
    <row r="357" spans="1:42" ht="15" customHeight="1" x14ac:dyDescent="0.3">
      <c r="A357" s="46">
        <v>207</v>
      </c>
      <c r="B357" s="12" t="s">
        <v>144</v>
      </c>
      <c r="C357">
        <v>2024</v>
      </c>
      <c r="D357" t="s">
        <v>255</v>
      </c>
      <c r="E357" s="47">
        <v>45509</v>
      </c>
      <c r="F357" t="s">
        <v>184</v>
      </c>
      <c r="G357">
        <v>207</v>
      </c>
      <c r="H357">
        <f t="shared" si="32"/>
        <v>147</v>
      </c>
      <c r="I357">
        <v>0</v>
      </c>
      <c r="K357">
        <v>147</v>
      </c>
      <c r="L357">
        <v>147</v>
      </c>
      <c r="O357">
        <f>Tabla5[[#This Row],[Taladros Simples]]+Tabla5[[#This Row],[Taladros Dobles]]+Tabla5[[#This Row],[Taladros Triples]]</f>
        <v>147</v>
      </c>
      <c r="R357" s="17">
        <v>110</v>
      </c>
      <c r="S357" s="17">
        <v>1153</v>
      </c>
      <c r="V357">
        <v>171</v>
      </c>
      <c r="W357">
        <v>0</v>
      </c>
      <c r="X357">
        <v>400</v>
      </c>
      <c r="AF357" t="e">
        <f>-#REF!</f>
        <v>#REF!</v>
      </c>
      <c r="AP357" t="str">
        <f t="shared" si="31"/>
        <v>Túnel completo-Vol 207</v>
      </c>
    </row>
    <row r="358" spans="1:42" ht="15" customHeight="1" x14ac:dyDescent="0.3">
      <c r="A358" s="30">
        <v>121</v>
      </c>
      <c r="B358" s="12" t="s">
        <v>199</v>
      </c>
      <c r="C358">
        <v>2024</v>
      </c>
      <c r="D358" t="s">
        <v>255</v>
      </c>
      <c r="E358" s="16">
        <v>45509</v>
      </c>
      <c r="F358" t="s">
        <v>184</v>
      </c>
      <c r="G358">
        <v>121</v>
      </c>
      <c r="H358">
        <f t="shared" si="32"/>
        <v>26</v>
      </c>
      <c r="I358">
        <v>0</v>
      </c>
      <c r="K358">
        <v>26</v>
      </c>
      <c r="L358">
        <v>26</v>
      </c>
      <c r="O358">
        <f>Tabla5[[#This Row],[Taladros Simples]]+Tabla5[[#This Row],[Taladros Dobles]]+Tabla5[[#This Row],[Taladros Triples]]</f>
        <v>26</v>
      </c>
      <c r="R358" s="17">
        <v>0</v>
      </c>
      <c r="S358" s="17">
        <v>176</v>
      </c>
      <c r="V358">
        <v>0</v>
      </c>
      <c r="W358">
        <v>0</v>
      </c>
      <c r="X358">
        <v>200</v>
      </c>
      <c r="AF358" t="e">
        <f>-#REF!</f>
        <v>#REF!</v>
      </c>
      <c r="AP358" t="str">
        <f t="shared" si="31"/>
        <v>Túnel completo-Vol 121</v>
      </c>
    </row>
    <row r="359" spans="1:42" ht="15" customHeight="1" x14ac:dyDescent="0.3">
      <c r="A359" s="30" t="s">
        <v>257</v>
      </c>
      <c r="B359" s="12" t="s">
        <v>144</v>
      </c>
      <c r="C359">
        <v>2024</v>
      </c>
      <c r="D359" t="s">
        <v>255</v>
      </c>
      <c r="E359" s="16">
        <v>45509</v>
      </c>
      <c r="F359" t="s">
        <v>258</v>
      </c>
      <c r="G359">
        <v>64</v>
      </c>
      <c r="H359">
        <f t="shared" si="32"/>
        <v>11</v>
      </c>
      <c r="I359">
        <v>0</v>
      </c>
      <c r="K359">
        <v>11</v>
      </c>
      <c r="L359">
        <v>11</v>
      </c>
      <c r="O359">
        <v>11</v>
      </c>
      <c r="R359" s="17">
        <v>33</v>
      </c>
      <c r="S359" s="17">
        <v>47.5</v>
      </c>
      <c r="V359">
        <v>0</v>
      </c>
      <c r="W359">
        <v>0</v>
      </c>
      <c r="X359">
        <v>200</v>
      </c>
      <c r="AF359" t="e">
        <f>-#REF!</f>
        <v>#REF!</v>
      </c>
      <c r="AP359" t="str">
        <f t="shared" ref="AP359:AP390" si="33">CONCATENATE(F359,"-","Vol"," ",G359)</f>
        <v>BANCO-Vol 64</v>
      </c>
    </row>
    <row r="360" spans="1:42" ht="15" customHeight="1" x14ac:dyDescent="0.3">
      <c r="A360" s="30">
        <v>122</v>
      </c>
      <c r="B360" s="12" t="s">
        <v>199</v>
      </c>
      <c r="C360">
        <v>2024</v>
      </c>
      <c r="D360" t="s">
        <v>255</v>
      </c>
      <c r="E360" s="16">
        <v>45510</v>
      </c>
      <c r="F360" t="s">
        <v>149</v>
      </c>
      <c r="G360">
        <v>122</v>
      </c>
      <c r="H360">
        <f t="shared" si="32"/>
        <v>36</v>
      </c>
      <c r="I360">
        <v>0</v>
      </c>
      <c r="K360">
        <v>36</v>
      </c>
      <c r="L360">
        <v>36</v>
      </c>
      <c r="O360">
        <f>Tabla5[[#This Row],[Taladros Simples]]+Tabla5[[#This Row],[Taladros Dobles]]+Tabla5[[#This Row],[Taladros Triples]]</f>
        <v>36</v>
      </c>
      <c r="R360" s="17">
        <v>0</v>
      </c>
      <c r="S360" s="17">
        <v>155</v>
      </c>
      <c r="V360">
        <v>100</v>
      </c>
      <c r="W360">
        <v>0</v>
      </c>
      <c r="X360">
        <v>200</v>
      </c>
      <c r="AF360" t="e">
        <f>-#REF!</f>
        <v>#REF!</v>
      </c>
      <c r="AP360" t="str">
        <f t="shared" si="33"/>
        <v>GAL 01 y GAL 02-Vol 122</v>
      </c>
    </row>
    <row r="361" spans="1:42" ht="15" customHeight="1" x14ac:dyDescent="0.3">
      <c r="A361" s="30" t="s">
        <v>259</v>
      </c>
      <c r="B361" s="12" t="s">
        <v>144</v>
      </c>
      <c r="C361">
        <v>2024</v>
      </c>
      <c r="D361" t="s">
        <v>255</v>
      </c>
      <c r="E361" s="16">
        <v>45510</v>
      </c>
      <c r="F361" t="s">
        <v>260</v>
      </c>
      <c r="G361">
        <v>209</v>
      </c>
      <c r="H361">
        <f t="shared" si="32"/>
        <v>88</v>
      </c>
      <c r="I361">
        <v>0</v>
      </c>
      <c r="K361">
        <v>88</v>
      </c>
      <c r="L361">
        <v>88</v>
      </c>
      <c r="O361">
        <f>Tabla5[[#This Row],[Taladros Simples]]+Tabla5[[#This Row],[Taladros Dobles]]+Tabla5[[#This Row],[Taladros Triples]]</f>
        <v>88</v>
      </c>
      <c r="R361" s="17">
        <v>0</v>
      </c>
      <c r="S361" s="17">
        <v>319.5</v>
      </c>
      <c r="V361">
        <v>0</v>
      </c>
      <c r="W361">
        <v>0</v>
      </c>
      <c r="X361">
        <v>200</v>
      </c>
      <c r="AF361" t="e">
        <f>-#REF!</f>
        <v>#REF!</v>
      </c>
      <c r="AP361" t="str">
        <f t="shared" si="33"/>
        <v>Banco-Vol 209</v>
      </c>
    </row>
    <row r="362" spans="1:42" ht="15" customHeight="1" x14ac:dyDescent="0.3">
      <c r="A362" s="30">
        <v>123</v>
      </c>
      <c r="B362" s="12" t="s">
        <v>199</v>
      </c>
      <c r="C362">
        <v>2024</v>
      </c>
      <c r="D362" t="s">
        <v>255</v>
      </c>
      <c r="E362" s="16">
        <v>45510</v>
      </c>
      <c r="F362" t="s">
        <v>260</v>
      </c>
      <c r="G362">
        <v>123</v>
      </c>
      <c r="H362">
        <f t="shared" si="32"/>
        <v>70</v>
      </c>
      <c r="I362">
        <v>0</v>
      </c>
      <c r="K362">
        <v>70</v>
      </c>
      <c r="L362">
        <v>70</v>
      </c>
      <c r="O362">
        <f>Tabla5[[#This Row],[Taladros Simples]]+Tabla5[[#This Row],[Taladros Dobles]]+Tabla5[[#This Row],[Taladros Triples]]</f>
        <v>70</v>
      </c>
      <c r="R362" s="17">
        <v>0</v>
      </c>
      <c r="S362" s="17">
        <v>467</v>
      </c>
      <c r="V362">
        <v>0</v>
      </c>
      <c r="W362">
        <v>0</v>
      </c>
      <c r="X362">
        <v>200</v>
      </c>
      <c r="AF362" t="e">
        <f>-#REF!</f>
        <v>#REF!</v>
      </c>
      <c r="AP362" t="str">
        <f t="shared" si="33"/>
        <v>Banco-Vol 123</v>
      </c>
    </row>
    <row r="363" spans="1:42" ht="15" customHeight="1" x14ac:dyDescent="0.3">
      <c r="A363" s="30" t="s">
        <v>261</v>
      </c>
      <c r="B363" s="12" t="s">
        <v>144</v>
      </c>
      <c r="C363">
        <v>2024</v>
      </c>
      <c r="D363" t="s">
        <v>255</v>
      </c>
      <c r="E363" s="16">
        <v>45511</v>
      </c>
      <c r="F363" t="s">
        <v>260</v>
      </c>
      <c r="G363">
        <v>210</v>
      </c>
      <c r="H363">
        <f t="shared" si="32"/>
        <v>63</v>
      </c>
      <c r="I363">
        <v>0</v>
      </c>
      <c r="K363">
        <v>63</v>
      </c>
      <c r="L363">
        <v>63</v>
      </c>
      <c r="O363">
        <f>Tabla5[[#This Row],[Taladros Simples]]+Tabla5[[#This Row],[Taladros Dobles]]+Tabla5[[#This Row],[Taladros Triples]]</f>
        <v>63</v>
      </c>
      <c r="R363" s="17">
        <v>0</v>
      </c>
      <c r="S363" s="17">
        <v>410</v>
      </c>
      <c r="V363">
        <v>0</v>
      </c>
      <c r="W363">
        <v>0</v>
      </c>
      <c r="X363">
        <v>400</v>
      </c>
      <c r="AF363" t="e">
        <f>-#REF!</f>
        <v>#REF!</v>
      </c>
      <c r="AP363" t="str">
        <f t="shared" si="33"/>
        <v>Banco-Vol 210</v>
      </c>
    </row>
    <row r="364" spans="1:42" ht="15" customHeight="1" x14ac:dyDescent="0.3">
      <c r="A364" s="30">
        <v>124</v>
      </c>
      <c r="B364" s="12" t="s">
        <v>199</v>
      </c>
      <c r="C364">
        <v>2024</v>
      </c>
      <c r="D364" t="s">
        <v>255</v>
      </c>
      <c r="E364" s="16">
        <v>45511</v>
      </c>
      <c r="F364" t="s">
        <v>260</v>
      </c>
      <c r="G364">
        <v>124</v>
      </c>
      <c r="H364">
        <f t="shared" si="32"/>
        <v>96</v>
      </c>
      <c r="I364">
        <v>0</v>
      </c>
      <c r="K364">
        <v>96</v>
      </c>
      <c r="L364">
        <v>96</v>
      </c>
      <c r="O364">
        <f>Tabla5[[#This Row],[Taladros Simples]]+Tabla5[[#This Row],[Taladros Dobles]]+Tabla5[[#This Row],[Taladros Triples]]</f>
        <v>96</v>
      </c>
      <c r="R364" s="17">
        <v>0</v>
      </c>
      <c r="S364" s="17">
        <v>719</v>
      </c>
      <c r="V364">
        <v>0</v>
      </c>
      <c r="W364">
        <v>0</v>
      </c>
      <c r="X364">
        <v>400</v>
      </c>
      <c r="AF364" t="e">
        <f>-#REF!</f>
        <v>#REF!</v>
      </c>
      <c r="AP364" t="str">
        <f t="shared" si="33"/>
        <v>Banco-Vol 124</v>
      </c>
    </row>
    <row r="365" spans="1:42" ht="15" customHeight="1" x14ac:dyDescent="0.3">
      <c r="A365" s="30" t="s">
        <v>262</v>
      </c>
      <c r="B365" s="12" t="s">
        <v>144</v>
      </c>
      <c r="C365">
        <v>2024</v>
      </c>
      <c r="D365" t="s">
        <v>255</v>
      </c>
      <c r="E365" s="16">
        <v>45511</v>
      </c>
      <c r="F365" t="s">
        <v>260</v>
      </c>
      <c r="G365">
        <v>211</v>
      </c>
      <c r="H365">
        <f t="shared" si="32"/>
        <v>63</v>
      </c>
      <c r="I365">
        <v>0</v>
      </c>
      <c r="K365">
        <v>63</v>
      </c>
      <c r="L365">
        <v>63</v>
      </c>
      <c r="O365">
        <v>63</v>
      </c>
      <c r="R365" s="17">
        <v>0</v>
      </c>
      <c r="S365" s="17">
        <v>674.5</v>
      </c>
      <c r="V365">
        <v>0</v>
      </c>
      <c r="W365">
        <v>0</v>
      </c>
      <c r="X365">
        <v>200</v>
      </c>
      <c r="AF365" t="e">
        <f>-#REF!</f>
        <v>#REF!</v>
      </c>
      <c r="AP365" t="str">
        <f t="shared" si="33"/>
        <v>Banco-Vol 211</v>
      </c>
    </row>
    <row r="366" spans="1:42" ht="15" customHeight="1" x14ac:dyDescent="0.3">
      <c r="A366" s="30">
        <v>125</v>
      </c>
      <c r="B366" s="12" t="s">
        <v>199</v>
      </c>
      <c r="C366">
        <v>2024</v>
      </c>
      <c r="D366" t="s">
        <v>255</v>
      </c>
      <c r="E366" s="16">
        <v>45511</v>
      </c>
      <c r="F366" t="s">
        <v>263</v>
      </c>
      <c r="G366">
        <v>125</v>
      </c>
      <c r="H366">
        <f t="shared" si="32"/>
        <v>71</v>
      </c>
      <c r="I366">
        <v>0</v>
      </c>
      <c r="K366">
        <v>71</v>
      </c>
      <c r="L366">
        <v>71</v>
      </c>
      <c r="O366">
        <f>Tabla5[[#This Row],[Taladros Simples]]+Tabla5[[#This Row],[Taladros Dobles]]+Tabla5[[#This Row],[Taladros Triples]]</f>
        <v>71</v>
      </c>
      <c r="R366" s="17">
        <v>0</v>
      </c>
      <c r="S366" s="17">
        <v>537</v>
      </c>
      <c r="V366">
        <v>0</v>
      </c>
      <c r="W366">
        <v>0</v>
      </c>
      <c r="X366">
        <v>400</v>
      </c>
      <c r="AF366" t="e">
        <f>-#REF!</f>
        <v>#REF!</v>
      </c>
      <c r="AP366" t="str">
        <f t="shared" si="33"/>
        <v>Banco + desquinche-Vol 125</v>
      </c>
    </row>
    <row r="367" spans="1:42" ht="15" customHeight="1" x14ac:dyDescent="0.3">
      <c r="A367" s="30" t="s">
        <v>264</v>
      </c>
      <c r="B367" s="12" t="s">
        <v>144</v>
      </c>
      <c r="C367">
        <v>2024</v>
      </c>
      <c r="D367" t="s">
        <v>255</v>
      </c>
      <c r="E367" s="16">
        <v>45512</v>
      </c>
      <c r="F367" t="s">
        <v>263</v>
      </c>
      <c r="G367">
        <v>212</v>
      </c>
      <c r="H367">
        <f t="shared" si="32"/>
        <v>105</v>
      </c>
      <c r="I367">
        <v>0</v>
      </c>
      <c r="K367">
        <v>105</v>
      </c>
      <c r="L367">
        <v>105</v>
      </c>
      <c r="O367">
        <f>Tabla5[[#This Row],[Taladros Simples]]+Tabla5[[#This Row],[Taladros Dobles]]+Tabla5[[#This Row],[Taladros Triples]]</f>
        <v>105</v>
      </c>
      <c r="R367" s="17">
        <v>0</v>
      </c>
      <c r="S367" s="17">
        <v>836</v>
      </c>
      <c r="V367">
        <v>0</v>
      </c>
      <c r="W367">
        <v>0</v>
      </c>
      <c r="X367">
        <v>200</v>
      </c>
      <c r="AF367" t="e">
        <f>-#REF!</f>
        <v>#REF!</v>
      </c>
      <c r="AP367" t="str">
        <f t="shared" si="33"/>
        <v>Banco + desquinche-Vol 212</v>
      </c>
    </row>
    <row r="368" spans="1:42" ht="15" customHeight="1" x14ac:dyDescent="0.3">
      <c r="A368" s="30">
        <v>126</v>
      </c>
      <c r="B368" s="12" t="s">
        <v>199</v>
      </c>
      <c r="C368">
        <v>2024</v>
      </c>
      <c r="D368" t="s">
        <v>255</v>
      </c>
      <c r="E368" s="16">
        <v>45512</v>
      </c>
      <c r="F368" t="s">
        <v>263</v>
      </c>
      <c r="G368">
        <v>126</v>
      </c>
      <c r="H368">
        <f t="shared" si="32"/>
        <v>70</v>
      </c>
      <c r="I368">
        <v>0</v>
      </c>
      <c r="K368">
        <v>70</v>
      </c>
      <c r="L368">
        <v>70</v>
      </c>
      <c r="O368">
        <f>Tabla5[[#This Row],[Taladros Simples]]+Tabla5[[#This Row],[Taladros Dobles]]+Tabla5[[#This Row],[Taladros Triples]]</f>
        <v>70</v>
      </c>
      <c r="R368" s="17">
        <v>0</v>
      </c>
      <c r="S368" s="17">
        <v>658</v>
      </c>
      <c r="V368">
        <v>0</v>
      </c>
      <c r="W368">
        <v>0</v>
      </c>
      <c r="X368">
        <v>400</v>
      </c>
      <c r="AF368" t="e">
        <f>-#REF!</f>
        <v>#REF!</v>
      </c>
      <c r="AP368" t="str">
        <f t="shared" si="33"/>
        <v>Banco + desquinche-Vol 126</v>
      </c>
    </row>
    <row r="369" spans="1:42" ht="15" customHeight="1" x14ac:dyDescent="0.3">
      <c r="A369" s="30" t="s">
        <v>265</v>
      </c>
      <c r="B369" s="12" t="s">
        <v>144</v>
      </c>
      <c r="C369">
        <v>2024</v>
      </c>
      <c r="D369" t="s">
        <v>255</v>
      </c>
      <c r="E369" s="16">
        <v>45512</v>
      </c>
      <c r="F369" t="s">
        <v>263</v>
      </c>
      <c r="G369">
        <v>213</v>
      </c>
      <c r="H369">
        <f t="shared" si="32"/>
        <v>138</v>
      </c>
      <c r="I369">
        <v>0</v>
      </c>
      <c r="K369">
        <v>138</v>
      </c>
      <c r="L369">
        <v>138</v>
      </c>
      <c r="O369">
        <f>Tabla5[[#This Row],[Taladros Simples]]+Tabla5[[#This Row],[Taladros Dobles]]+Tabla5[[#This Row],[Taladros Triples]]</f>
        <v>138</v>
      </c>
      <c r="Q369" s="17">
        <v>0</v>
      </c>
      <c r="R369" s="17">
        <v>0</v>
      </c>
      <c r="S369" s="17">
        <v>841</v>
      </c>
      <c r="V369">
        <v>0</v>
      </c>
      <c r="W369">
        <v>0</v>
      </c>
      <c r="X369">
        <v>200</v>
      </c>
      <c r="AF369" t="e">
        <f>-#REF!</f>
        <v>#REF!</v>
      </c>
      <c r="AP369" t="str">
        <f t="shared" si="33"/>
        <v>Banco + desquinche-Vol 213</v>
      </c>
    </row>
    <row r="370" spans="1:42" ht="15" customHeight="1" x14ac:dyDescent="0.3">
      <c r="A370" s="30">
        <v>127</v>
      </c>
      <c r="B370" s="12" t="s">
        <v>199</v>
      </c>
      <c r="C370">
        <v>2024</v>
      </c>
      <c r="D370" t="s">
        <v>255</v>
      </c>
      <c r="E370" s="16">
        <v>45512</v>
      </c>
      <c r="F370" t="s">
        <v>266</v>
      </c>
      <c r="G370">
        <v>127</v>
      </c>
      <c r="H370">
        <f t="shared" si="32"/>
        <v>83</v>
      </c>
      <c r="I370">
        <v>0</v>
      </c>
      <c r="K370">
        <v>83</v>
      </c>
      <c r="L370">
        <v>83</v>
      </c>
      <c r="O370">
        <f>Tabla5[[#This Row],[Taladros Simples]]+Tabla5[[#This Row],[Taladros Dobles]]+Tabla5[[#This Row],[Taladros Triples]]</f>
        <v>83</v>
      </c>
      <c r="Q370" s="17">
        <v>0</v>
      </c>
      <c r="R370" s="17">
        <v>0</v>
      </c>
      <c r="S370" s="17">
        <v>623</v>
      </c>
      <c r="V370">
        <v>0</v>
      </c>
      <c r="W370">
        <v>0</v>
      </c>
      <c r="X370">
        <v>400</v>
      </c>
      <c r="AF370" t="e">
        <f>-#REF!</f>
        <v>#REF!</v>
      </c>
      <c r="AP370" t="str">
        <f t="shared" si="33"/>
        <v>Banco -Vol 127</v>
      </c>
    </row>
    <row r="371" spans="1:42" ht="15" customHeight="1" x14ac:dyDescent="0.3">
      <c r="A371" s="30">
        <v>128</v>
      </c>
      <c r="B371" s="12" t="s">
        <v>199</v>
      </c>
      <c r="C371">
        <v>2024</v>
      </c>
      <c r="D371" t="s">
        <v>255</v>
      </c>
      <c r="E371" s="16">
        <v>45513</v>
      </c>
      <c r="F371" t="s">
        <v>260</v>
      </c>
      <c r="G371">
        <v>128</v>
      </c>
      <c r="H371">
        <f t="shared" si="32"/>
        <v>58</v>
      </c>
      <c r="I371">
        <v>0</v>
      </c>
      <c r="K371">
        <v>58</v>
      </c>
      <c r="L371">
        <v>58</v>
      </c>
      <c r="O371">
        <f>Tabla5[[#This Row],[Taladros Simples]]+Tabla5[[#This Row],[Taladros Dobles]]+Tabla5[[#This Row],[Taladros Triples]]</f>
        <v>58</v>
      </c>
      <c r="Q371" s="17">
        <v>0</v>
      </c>
      <c r="R371" s="17">
        <v>0</v>
      </c>
      <c r="S371" s="17">
        <v>447</v>
      </c>
      <c r="X371">
        <v>400</v>
      </c>
      <c r="AF371" t="e">
        <f>-#REF!</f>
        <v>#REF!</v>
      </c>
      <c r="AP371" t="str">
        <f t="shared" si="33"/>
        <v>Banco-Vol 128</v>
      </c>
    </row>
    <row r="372" spans="1:42" ht="15" customHeight="1" x14ac:dyDescent="0.3">
      <c r="A372" s="30" t="s">
        <v>267</v>
      </c>
      <c r="B372" s="12" t="s">
        <v>144</v>
      </c>
      <c r="C372">
        <v>2024</v>
      </c>
      <c r="D372" t="s">
        <v>255</v>
      </c>
      <c r="E372" s="16">
        <v>45513</v>
      </c>
      <c r="F372" t="s">
        <v>260</v>
      </c>
      <c r="G372">
        <v>214</v>
      </c>
      <c r="H372">
        <f t="shared" si="32"/>
        <v>102</v>
      </c>
      <c r="I372">
        <v>0</v>
      </c>
      <c r="K372">
        <v>102</v>
      </c>
      <c r="L372">
        <v>102</v>
      </c>
      <c r="O372">
        <f>Tabla5[[#This Row],[Taladros Simples]]+Tabla5[[#This Row],[Taladros Dobles]]+Tabla5[[#This Row],[Taladros Triples]]</f>
        <v>102</v>
      </c>
      <c r="Q372" s="17">
        <v>0</v>
      </c>
      <c r="R372" s="17">
        <v>0</v>
      </c>
      <c r="S372" s="17">
        <v>774</v>
      </c>
      <c r="V372">
        <v>0</v>
      </c>
      <c r="W372">
        <v>0</v>
      </c>
      <c r="X372">
        <v>200</v>
      </c>
      <c r="AF372" t="e">
        <f>-#REF!</f>
        <v>#REF!</v>
      </c>
      <c r="AP372" t="str">
        <f t="shared" si="33"/>
        <v>Banco-Vol 214</v>
      </c>
    </row>
    <row r="373" spans="1:42" ht="15" customHeight="1" x14ac:dyDescent="0.3">
      <c r="A373" s="30">
        <v>129</v>
      </c>
      <c r="B373" s="12" t="s">
        <v>199</v>
      </c>
      <c r="C373">
        <v>2024</v>
      </c>
      <c r="D373" t="s">
        <v>255</v>
      </c>
      <c r="E373" s="16">
        <v>45513</v>
      </c>
      <c r="F373" t="s">
        <v>260</v>
      </c>
      <c r="G373">
        <v>129</v>
      </c>
      <c r="H373">
        <f t="shared" si="32"/>
        <v>109</v>
      </c>
      <c r="I373">
        <v>0</v>
      </c>
      <c r="K373">
        <v>109</v>
      </c>
      <c r="L373">
        <v>109</v>
      </c>
      <c r="O373">
        <f>Tabla5[[#This Row],[Taladros Simples]]+Tabla5[[#This Row],[Taladros Dobles]]+Tabla5[[#This Row],[Taladros Triples]]</f>
        <v>109</v>
      </c>
      <c r="Q373" s="17">
        <v>0</v>
      </c>
      <c r="R373" s="17">
        <v>0</v>
      </c>
      <c r="S373" s="17">
        <v>744</v>
      </c>
      <c r="X373">
        <v>400</v>
      </c>
      <c r="AF373" t="e">
        <f>-#REF!</f>
        <v>#REF!</v>
      </c>
      <c r="AP373" t="str">
        <f t="shared" si="33"/>
        <v>Banco-Vol 129</v>
      </c>
    </row>
    <row r="374" spans="1:42" ht="15" customHeight="1" x14ac:dyDescent="0.3">
      <c r="A374" s="30" t="s">
        <v>268</v>
      </c>
      <c r="B374" s="12" t="s">
        <v>144</v>
      </c>
      <c r="C374">
        <v>2024</v>
      </c>
      <c r="D374" t="s">
        <v>255</v>
      </c>
      <c r="E374" s="16">
        <v>45513</v>
      </c>
      <c r="F374" t="s">
        <v>260</v>
      </c>
      <c r="G374">
        <v>215</v>
      </c>
      <c r="H374">
        <v>19</v>
      </c>
      <c r="I374">
        <v>0</v>
      </c>
      <c r="J374">
        <v>19</v>
      </c>
      <c r="L374">
        <v>19</v>
      </c>
      <c r="O374">
        <f>Tabla5[[#This Row],[Taladros Simples]]+Tabla5[[#This Row],[Taladros Dobles]]+Tabla5[[#This Row],[Taladros Triples]]</f>
        <v>19</v>
      </c>
      <c r="Q374" s="17">
        <v>0</v>
      </c>
      <c r="R374" s="17">
        <v>19</v>
      </c>
      <c r="S374" s="17">
        <v>31</v>
      </c>
      <c r="V374">
        <v>0</v>
      </c>
      <c r="W374">
        <v>0</v>
      </c>
      <c r="X374">
        <v>200</v>
      </c>
      <c r="AF374" t="e">
        <f>-#REF!</f>
        <v>#REF!</v>
      </c>
      <c r="AP374" t="str">
        <f t="shared" si="33"/>
        <v>Banco-Vol 215</v>
      </c>
    </row>
    <row r="375" spans="1:42" ht="15" customHeight="1" x14ac:dyDescent="0.3">
      <c r="A375" s="30">
        <v>130</v>
      </c>
      <c r="B375" s="12" t="s">
        <v>199</v>
      </c>
      <c r="C375">
        <v>2024</v>
      </c>
      <c r="D375" t="s">
        <v>255</v>
      </c>
      <c r="E375" s="16">
        <v>45514</v>
      </c>
      <c r="F375" t="s">
        <v>266</v>
      </c>
      <c r="G375">
        <v>130</v>
      </c>
      <c r="H375">
        <f t="shared" ref="H375:H403" si="34">I375</f>
        <v>84</v>
      </c>
      <c r="I375">
        <v>84</v>
      </c>
      <c r="L375">
        <v>84</v>
      </c>
      <c r="O375">
        <f>Tabla5[[#This Row],[Taladros Simples]]+Tabla5[[#This Row],[Taladros Dobles]]+Tabla5[[#This Row],[Taladros Triples]]</f>
        <v>84</v>
      </c>
      <c r="Q375" s="17">
        <v>0</v>
      </c>
      <c r="R375" s="17">
        <v>0</v>
      </c>
      <c r="S375" s="17">
        <v>743</v>
      </c>
      <c r="W375">
        <v>400</v>
      </c>
      <c r="AF375" t="e">
        <f>-#REF!</f>
        <v>#REF!</v>
      </c>
      <c r="AP375" t="str">
        <f t="shared" si="33"/>
        <v>Banco -Vol 130</v>
      </c>
    </row>
    <row r="376" spans="1:42" ht="15" customHeight="1" x14ac:dyDescent="0.3">
      <c r="A376" s="30" t="s">
        <v>269</v>
      </c>
      <c r="B376" s="12" t="s">
        <v>144</v>
      </c>
      <c r="C376">
        <v>2024</v>
      </c>
      <c r="D376" t="s">
        <v>255</v>
      </c>
      <c r="E376" s="16">
        <v>45514</v>
      </c>
      <c r="F376" t="s">
        <v>263</v>
      </c>
      <c r="G376">
        <v>216</v>
      </c>
      <c r="H376">
        <v>52</v>
      </c>
      <c r="I376">
        <v>0</v>
      </c>
      <c r="J376">
        <v>52</v>
      </c>
      <c r="L376">
        <v>52</v>
      </c>
      <c r="O376">
        <f>Tabla5[[#This Row],[Taladros Simples]]+Tabla5[[#This Row],[Taladros Dobles]]+Tabla5[[#This Row],[Taladros Triples]]</f>
        <v>52</v>
      </c>
      <c r="Q376" s="17">
        <v>0</v>
      </c>
      <c r="R376" s="17">
        <v>0</v>
      </c>
      <c r="S376" s="17">
        <v>319</v>
      </c>
      <c r="W376">
        <v>0</v>
      </c>
      <c r="X376">
        <v>200</v>
      </c>
      <c r="AF376" t="e">
        <f>-#REF!</f>
        <v>#REF!</v>
      </c>
      <c r="AP376" t="str">
        <f t="shared" si="33"/>
        <v>Banco + desquinche-Vol 216</v>
      </c>
    </row>
    <row r="377" spans="1:42" ht="15" customHeight="1" x14ac:dyDescent="0.3">
      <c r="A377" s="30">
        <v>131</v>
      </c>
      <c r="B377" s="12" t="s">
        <v>199</v>
      </c>
      <c r="C377">
        <v>2024</v>
      </c>
      <c r="D377" t="s">
        <v>255</v>
      </c>
      <c r="E377" s="16">
        <v>45514</v>
      </c>
      <c r="F377" t="s">
        <v>266</v>
      </c>
      <c r="G377">
        <v>131</v>
      </c>
      <c r="H377">
        <f t="shared" si="34"/>
        <v>91</v>
      </c>
      <c r="I377">
        <v>91</v>
      </c>
      <c r="L377">
        <v>91</v>
      </c>
      <c r="O377">
        <f>Tabla5[[#This Row],[Taladros Simples]]+Tabla5[[#This Row],[Taladros Dobles]]+Tabla5[[#This Row],[Taladros Triples]]</f>
        <v>91</v>
      </c>
      <c r="Q377" s="17">
        <v>0</v>
      </c>
      <c r="R377" s="17">
        <v>0</v>
      </c>
      <c r="S377" s="17">
        <v>685</v>
      </c>
      <c r="W377">
        <v>400</v>
      </c>
      <c r="AF377" t="e">
        <f>-#REF!</f>
        <v>#REF!</v>
      </c>
      <c r="AP377" t="str">
        <f t="shared" si="33"/>
        <v>Banco -Vol 131</v>
      </c>
    </row>
    <row r="378" spans="1:42" ht="15" customHeight="1" x14ac:dyDescent="0.3">
      <c r="A378" s="30" t="s">
        <v>270</v>
      </c>
      <c r="B378" s="12" t="s">
        <v>144</v>
      </c>
      <c r="C378">
        <v>2024</v>
      </c>
      <c r="D378" t="s">
        <v>255</v>
      </c>
      <c r="E378" s="16">
        <v>45514</v>
      </c>
      <c r="F378" t="s">
        <v>260</v>
      </c>
      <c r="G378">
        <v>217</v>
      </c>
      <c r="H378">
        <v>62</v>
      </c>
      <c r="I378">
        <v>0</v>
      </c>
      <c r="K378">
        <v>62</v>
      </c>
      <c r="L378">
        <v>62</v>
      </c>
      <c r="O378">
        <f>Tabla5[[#This Row],[Taladros Simples]]+Tabla5[[#This Row],[Taladros Dobles]]+Tabla5[[#This Row],[Taladros Triples]]</f>
        <v>62</v>
      </c>
      <c r="Q378" s="17">
        <v>0</v>
      </c>
      <c r="R378" s="17">
        <v>0</v>
      </c>
      <c r="S378" s="17">
        <v>437</v>
      </c>
      <c r="W378">
        <v>0</v>
      </c>
      <c r="X378">
        <v>400</v>
      </c>
      <c r="AF378" t="e">
        <f>-#REF!</f>
        <v>#REF!</v>
      </c>
      <c r="AP378" t="str">
        <f t="shared" si="33"/>
        <v>Banco-Vol 217</v>
      </c>
    </row>
    <row r="379" spans="1:42" ht="15" customHeight="1" x14ac:dyDescent="0.3">
      <c r="A379" s="30">
        <v>132</v>
      </c>
      <c r="B379" s="12" t="s">
        <v>199</v>
      </c>
      <c r="C379">
        <v>2024</v>
      </c>
      <c r="D379" t="s">
        <v>255</v>
      </c>
      <c r="E379" s="16">
        <v>45515</v>
      </c>
      <c r="F379" t="s">
        <v>260</v>
      </c>
      <c r="G379">
        <v>132</v>
      </c>
      <c r="H379">
        <f t="shared" si="34"/>
        <v>29</v>
      </c>
      <c r="I379">
        <v>29</v>
      </c>
      <c r="K379">
        <v>0</v>
      </c>
      <c r="L379">
        <v>0</v>
      </c>
      <c r="O379">
        <v>29</v>
      </c>
      <c r="Q379" s="17">
        <v>0</v>
      </c>
      <c r="R379" s="17">
        <v>0</v>
      </c>
      <c r="S379" s="17">
        <v>248</v>
      </c>
      <c r="W379">
        <v>400</v>
      </c>
      <c r="X379">
        <v>0</v>
      </c>
      <c r="AF379" t="e">
        <f>-#REF!</f>
        <v>#REF!</v>
      </c>
      <c r="AP379" t="str">
        <f t="shared" si="33"/>
        <v>Banco-Vol 132</v>
      </c>
    </row>
    <row r="380" spans="1:42" ht="15" customHeight="1" x14ac:dyDescent="0.3">
      <c r="A380" s="30" t="s">
        <v>271</v>
      </c>
      <c r="B380" s="12" t="s">
        <v>144</v>
      </c>
      <c r="C380">
        <v>2024</v>
      </c>
      <c r="D380" t="s">
        <v>255</v>
      </c>
      <c r="E380" s="16">
        <v>45515</v>
      </c>
      <c r="F380" t="s">
        <v>260</v>
      </c>
      <c r="G380">
        <v>218</v>
      </c>
      <c r="H380">
        <v>100</v>
      </c>
      <c r="I380">
        <v>0</v>
      </c>
      <c r="K380">
        <v>100</v>
      </c>
      <c r="L380">
        <v>100</v>
      </c>
      <c r="O380">
        <f>Tabla5[[#This Row],[Taladros Simples]]+Tabla5[[#This Row],[Taladros Dobles]]+Tabla5[[#This Row],[Taladros Triples]]</f>
        <v>100</v>
      </c>
      <c r="Q380" s="17">
        <v>0</v>
      </c>
      <c r="R380" s="17">
        <v>0</v>
      </c>
      <c r="S380" s="17">
        <v>69.5</v>
      </c>
      <c r="W380">
        <v>0</v>
      </c>
      <c r="X380">
        <v>200</v>
      </c>
      <c r="AF380" t="e">
        <f>-#REF!</f>
        <v>#REF!</v>
      </c>
      <c r="AP380" t="str">
        <f t="shared" si="33"/>
        <v>Banco-Vol 218</v>
      </c>
    </row>
    <row r="381" spans="1:42" ht="15" customHeight="1" x14ac:dyDescent="0.3">
      <c r="A381" s="30">
        <v>133</v>
      </c>
      <c r="B381" s="12" t="s">
        <v>199</v>
      </c>
      <c r="C381">
        <v>2024</v>
      </c>
      <c r="D381" t="s">
        <v>255</v>
      </c>
      <c r="E381" s="16">
        <v>45515</v>
      </c>
      <c r="F381" t="s">
        <v>260</v>
      </c>
      <c r="G381">
        <v>133</v>
      </c>
      <c r="H381">
        <f t="shared" si="34"/>
        <v>72</v>
      </c>
      <c r="I381">
        <v>72</v>
      </c>
      <c r="K381">
        <v>0</v>
      </c>
      <c r="L381">
        <v>0</v>
      </c>
      <c r="O381">
        <v>72</v>
      </c>
      <c r="Q381" s="17">
        <v>0</v>
      </c>
      <c r="R381" s="17">
        <v>0</v>
      </c>
      <c r="S381" s="17">
        <v>507</v>
      </c>
      <c r="W381">
        <v>200</v>
      </c>
      <c r="X381">
        <v>0</v>
      </c>
      <c r="AF381" t="e">
        <f>-#REF!</f>
        <v>#REF!</v>
      </c>
      <c r="AP381" t="str">
        <f t="shared" si="33"/>
        <v>Banco-Vol 133</v>
      </c>
    </row>
    <row r="382" spans="1:42" ht="15" customHeight="1" x14ac:dyDescent="0.3">
      <c r="A382" s="30" t="s">
        <v>272</v>
      </c>
      <c r="B382" s="12" t="s">
        <v>144</v>
      </c>
      <c r="C382">
        <v>2024</v>
      </c>
      <c r="D382" t="s">
        <v>255</v>
      </c>
      <c r="E382" s="16">
        <v>45515</v>
      </c>
      <c r="F382" t="s">
        <v>260</v>
      </c>
      <c r="G382">
        <v>219</v>
      </c>
      <c r="H382">
        <v>31</v>
      </c>
      <c r="I382">
        <v>0</v>
      </c>
      <c r="K382">
        <v>31</v>
      </c>
      <c r="L382">
        <v>31</v>
      </c>
      <c r="O382">
        <f>Tabla5[[#This Row],[Taladros Simples]]+Tabla5[[#This Row],[Taladros Dobles]]+Tabla5[[#This Row],[Taladros Triples]]</f>
        <v>31</v>
      </c>
      <c r="Q382" s="17">
        <v>0</v>
      </c>
      <c r="R382" s="17">
        <v>0</v>
      </c>
      <c r="S382" s="17">
        <v>284</v>
      </c>
      <c r="W382">
        <v>0</v>
      </c>
      <c r="X382">
        <v>200</v>
      </c>
      <c r="AF382" t="e">
        <f>-#REF!</f>
        <v>#REF!</v>
      </c>
      <c r="AP382" t="str">
        <f t="shared" si="33"/>
        <v>Banco-Vol 219</v>
      </c>
    </row>
    <row r="383" spans="1:42" ht="15" customHeight="1" x14ac:dyDescent="0.3">
      <c r="A383" s="30">
        <v>134</v>
      </c>
      <c r="B383" s="12" t="s">
        <v>199</v>
      </c>
      <c r="C383">
        <v>2024</v>
      </c>
      <c r="D383" t="s">
        <v>255</v>
      </c>
      <c r="E383" s="16">
        <v>45516</v>
      </c>
      <c r="F383" t="s">
        <v>260</v>
      </c>
      <c r="G383">
        <f>+Tabla5[[#This Row],[N°¨Vold.]]</f>
        <v>134</v>
      </c>
      <c r="H383">
        <f t="shared" si="34"/>
        <v>100</v>
      </c>
      <c r="I383">
        <v>100</v>
      </c>
      <c r="K383">
        <v>0</v>
      </c>
      <c r="L383">
        <v>100</v>
      </c>
      <c r="O383">
        <f>Tabla5[[#This Row],[Taladros Simples]]+Tabla5[[#This Row],[Taladros Dobles]]+Tabla5[[#This Row],[Taladros Triples]]</f>
        <v>100</v>
      </c>
      <c r="Q383" s="17">
        <v>0</v>
      </c>
      <c r="R383" s="17">
        <v>0</v>
      </c>
      <c r="S383" s="17">
        <v>555</v>
      </c>
      <c r="W383">
        <v>200</v>
      </c>
      <c r="X383">
        <v>0</v>
      </c>
      <c r="AF383" t="e">
        <f>-#REF!</f>
        <v>#REF!</v>
      </c>
      <c r="AP383" t="str">
        <f t="shared" si="33"/>
        <v>Banco-Vol 134</v>
      </c>
    </row>
    <row r="384" spans="1:42" ht="15" customHeight="1" x14ac:dyDescent="0.3">
      <c r="A384" s="30">
        <v>135</v>
      </c>
      <c r="B384" s="12" t="s">
        <v>199</v>
      </c>
      <c r="C384">
        <v>2024</v>
      </c>
      <c r="D384" t="s">
        <v>255</v>
      </c>
      <c r="E384" s="16">
        <v>45516</v>
      </c>
      <c r="F384" t="s">
        <v>260</v>
      </c>
      <c r="G384">
        <v>135</v>
      </c>
      <c r="H384">
        <f t="shared" si="34"/>
        <v>32</v>
      </c>
      <c r="I384">
        <v>32</v>
      </c>
      <c r="L384">
        <v>32</v>
      </c>
      <c r="O384">
        <f>Tabla5[[#This Row],[Taladros Simples]]+Tabla5[[#This Row],[Taladros Dobles]]+Tabla5[[#This Row],[Taladros Triples]]</f>
        <v>32</v>
      </c>
      <c r="Q384" s="17">
        <v>0</v>
      </c>
      <c r="R384" s="17">
        <v>0</v>
      </c>
      <c r="S384" s="17">
        <v>302</v>
      </c>
      <c r="W384">
        <v>200</v>
      </c>
      <c r="X384">
        <v>0</v>
      </c>
      <c r="AF384" t="e">
        <f>-#REF!</f>
        <v>#REF!</v>
      </c>
      <c r="AP384" t="str">
        <f t="shared" si="33"/>
        <v>Banco-Vol 135</v>
      </c>
    </row>
    <row r="385" spans="1:42" ht="15" customHeight="1" x14ac:dyDescent="0.3">
      <c r="A385" s="30" t="s">
        <v>273</v>
      </c>
      <c r="B385" s="12" t="s">
        <v>144</v>
      </c>
      <c r="C385">
        <v>2024</v>
      </c>
      <c r="D385" t="s">
        <v>255</v>
      </c>
      <c r="E385" s="16">
        <v>45516</v>
      </c>
      <c r="F385" t="s">
        <v>260</v>
      </c>
      <c r="G385">
        <v>220</v>
      </c>
      <c r="H385">
        <v>20</v>
      </c>
      <c r="I385">
        <v>0</v>
      </c>
      <c r="J385">
        <v>20</v>
      </c>
      <c r="K385">
        <v>0</v>
      </c>
      <c r="L385">
        <v>20</v>
      </c>
      <c r="O385">
        <f>Tabla5[[#This Row],[Taladros Simples]]+Tabla5[[#This Row],[Taladros Dobles]]+Tabla5[[#This Row],[Taladros Triples]]</f>
        <v>20</v>
      </c>
      <c r="Q385" s="17">
        <v>0</v>
      </c>
      <c r="R385" s="17">
        <v>0</v>
      </c>
      <c r="S385" s="17">
        <v>99</v>
      </c>
      <c r="W385">
        <v>0</v>
      </c>
      <c r="X385">
        <v>0</v>
      </c>
      <c r="AF385" t="e">
        <f>-#REF!</f>
        <v>#REF!</v>
      </c>
      <c r="AP385" t="str">
        <f t="shared" si="33"/>
        <v>Banco-Vol 220</v>
      </c>
    </row>
    <row r="386" spans="1:42" ht="15" customHeight="1" x14ac:dyDescent="0.3">
      <c r="A386" s="30">
        <v>136</v>
      </c>
      <c r="B386" s="12" t="s">
        <v>199</v>
      </c>
      <c r="C386">
        <v>2024</v>
      </c>
      <c r="D386" t="s">
        <v>255</v>
      </c>
      <c r="E386" s="16">
        <v>45517</v>
      </c>
      <c r="F386" t="s">
        <v>260</v>
      </c>
      <c r="G386">
        <f>+Tabla5[[#This Row],[N°¨Vold.]]</f>
        <v>136</v>
      </c>
      <c r="H386">
        <f t="shared" si="34"/>
        <v>130</v>
      </c>
      <c r="I386">
        <v>130</v>
      </c>
      <c r="L386">
        <v>130</v>
      </c>
      <c r="O386">
        <f>Tabla5[[#This Row],[Taladros Simples]]+Tabla5[[#This Row],[Taladros Dobles]]+Tabla5[[#This Row],[Taladros Triples]]</f>
        <v>130</v>
      </c>
      <c r="S386" s="17">
        <v>1175</v>
      </c>
      <c r="W386">
        <v>200</v>
      </c>
      <c r="AF386" t="e">
        <f>-#REF!</f>
        <v>#REF!</v>
      </c>
      <c r="AP386" t="str">
        <f t="shared" si="33"/>
        <v>Banco-Vol 136</v>
      </c>
    </row>
    <row r="387" spans="1:42" ht="15" customHeight="1" x14ac:dyDescent="0.3">
      <c r="A387" s="30" t="s">
        <v>274</v>
      </c>
      <c r="B387" s="12" t="s">
        <v>144</v>
      </c>
      <c r="C387">
        <v>2024</v>
      </c>
      <c r="D387" t="s">
        <v>255</v>
      </c>
      <c r="E387" s="16">
        <v>45517</v>
      </c>
      <c r="F387" t="s">
        <v>260</v>
      </c>
      <c r="G387">
        <v>221</v>
      </c>
      <c r="H387">
        <v>26</v>
      </c>
      <c r="I387">
        <v>0</v>
      </c>
      <c r="J387">
        <v>26</v>
      </c>
      <c r="K387">
        <v>0</v>
      </c>
      <c r="L387">
        <v>26</v>
      </c>
      <c r="O387">
        <f>Tabla5[[#This Row],[Taladros Simples]]+Tabla5[[#This Row],[Taladros Dobles]]+Tabla5[[#This Row],[Taladros Triples]]</f>
        <v>26</v>
      </c>
      <c r="Q387" s="17">
        <v>0</v>
      </c>
      <c r="R387" s="17">
        <v>122</v>
      </c>
      <c r="S387" s="17">
        <v>0</v>
      </c>
      <c r="V387">
        <v>33</v>
      </c>
      <c r="W387">
        <v>200</v>
      </c>
      <c r="X387">
        <v>200</v>
      </c>
      <c r="AF387" t="e">
        <f>-#REF!</f>
        <v>#REF!</v>
      </c>
      <c r="AP387" t="str">
        <f t="shared" si="33"/>
        <v>Banco-Vol 221</v>
      </c>
    </row>
    <row r="388" spans="1:42" ht="15" customHeight="1" x14ac:dyDescent="0.3">
      <c r="A388" s="30">
        <v>137</v>
      </c>
      <c r="B388" s="12" t="s">
        <v>199</v>
      </c>
      <c r="C388">
        <v>2024</v>
      </c>
      <c r="D388" t="s">
        <v>255</v>
      </c>
      <c r="E388" s="16">
        <v>45517</v>
      </c>
      <c r="F388" t="s">
        <v>260</v>
      </c>
      <c r="G388">
        <v>137</v>
      </c>
      <c r="H388">
        <f t="shared" si="34"/>
        <v>93</v>
      </c>
      <c r="I388">
        <v>93</v>
      </c>
      <c r="L388">
        <v>93</v>
      </c>
      <c r="O388">
        <f>Tabla5[[#This Row],[Taladros Simples]]+Tabla5[[#This Row],[Taladros Dobles]]+Tabla5[[#This Row],[Taladros Triples]]</f>
        <v>93</v>
      </c>
      <c r="S388" s="17">
        <v>713</v>
      </c>
      <c r="W388">
        <v>200</v>
      </c>
      <c r="AF388" t="e">
        <f>-#REF!</f>
        <v>#REF!</v>
      </c>
      <c r="AP388" t="str">
        <f t="shared" si="33"/>
        <v>Banco-Vol 137</v>
      </c>
    </row>
    <row r="389" spans="1:42" ht="15" customHeight="1" x14ac:dyDescent="0.3">
      <c r="A389" s="30" t="s">
        <v>275</v>
      </c>
      <c r="B389" s="12" t="s">
        <v>144</v>
      </c>
      <c r="C389">
        <v>2024</v>
      </c>
      <c r="D389" t="s">
        <v>276</v>
      </c>
      <c r="E389" s="16" t="s">
        <v>277</v>
      </c>
      <c r="F389" t="s">
        <v>278</v>
      </c>
      <c r="G389">
        <v>222</v>
      </c>
      <c r="H389">
        <v>11</v>
      </c>
      <c r="I389">
        <v>0</v>
      </c>
      <c r="K389">
        <v>11</v>
      </c>
      <c r="L389">
        <v>11</v>
      </c>
      <c r="O389">
        <f>Tabla5[[#This Row],[Taladros Simples]]+Tabla5[[#This Row],[Taladros Dobles]]+Tabla5[[#This Row],[Taladros Triples]]</f>
        <v>11</v>
      </c>
      <c r="X389">
        <v>200</v>
      </c>
      <c r="AF389" t="e">
        <f>-#REF!</f>
        <v>#REF!</v>
      </c>
      <c r="AP389" t="str">
        <f t="shared" si="33"/>
        <v>banco-Vol 222</v>
      </c>
    </row>
    <row r="390" spans="1:42" ht="15" customHeight="1" x14ac:dyDescent="0.3">
      <c r="A390" s="30">
        <v>138</v>
      </c>
      <c r="B390" s="12" t="s">
        <v>199</v>
      </c>
      <c r="C390">
        <v>2024</v>
      </c>
      <c r="D390" t="s">
        <v>255</v>
      </c>
      <c r="E390" s="16">
        <v>45517</v>
      </c>
      <c r="F390" t="s">
        <v>260</v>
      </c>
      <c r="G390">
        <v>138</v>
      </c>
      <c r="H390">
        <f t="shared" si="34"/>
        <v>126</v>
      </c>
      <c r="I390">
        <v>126</v>
      </c>
      <c r="L390">
        <v>126</v>
      </c>
      <c r="O390">
        <f>Tabla5[[#This Row],[Taladros Simples]]+Tabla5[[#This Row],[Taladros Dobles]]+Tabla5[[#This Row],[Taladros Triples]]</f>
        <v>126</v>
      </c>
      <c r="W390">
        <v>200</v>
      </c>
      <c r="AF390" t="e">
        <f>-#REF!</f>
        <v>#REF!</v>
      </c>
      <c r="AP390" t="str">
        <f t="shared" si="33"/>
        <v>Banco-Vol 138</v>
      </c>
    </row>
    <row r="391" spans="1:42" ht="15" customHeight="1" x14ac:dyDescent="0.3">
      <c r="A391" s="30" t="s">
        <v>279</v>
      </c>
      <c r="B391" s="12" t="s">
        <v>144</v>
      </c>
      <c r="C391">
        <v>2024</v>
      </c>
      <c r="D391" t="s">
        <v>255</v>
      </c>
      <c r="E391" s="16">
        <v>45518</v>
      </c>
      <c r="F391" t="s">
        <v>260</v>
      </c>
      <c r="G391">
        <v>223</v>
      </c>
      <c r="H391">
        <v>9</v>
      </c>
      <c r="I391">
        <v>0</v>
      </c>
      <c r="K391">
        <v>9</v>
      </c>
      <c r="L391">
        <v>9</v>
      </c>
      <c r="O391">
        <f>Tabla5[[#This Row],[Taladros Simples]]+Tabla5[[#This Row],[Taladros Dobles]]+Tabla5[[#This Row],[Taladros Triples]]</f>
        <v>9</v>
      </c>
      <c r="V391">
        <v>96</v>
      </c>
      <c r="X391">
        <v>200</v>
      </c>
      <c r="AF391" t="e">
        <f>-#REF!</f>
        <v>#REF!</v>
      </c>
      <c r="AP391" t="str">
        <f t="shared" ref="AP391:AP403" si="35">CONCATENATE(F391,"-","Vol"," ",G391)</f>
        <v>Banco-Vol 223</v>
      </c>
    </row>
    <row r="392" spans="1:42" ht="15" customHeight="1" x14ac:dyDescent="0.3">
      <c r="A392" s="30">
        <v>139</v>
      </c>
      <c r="B392" s="12" t="s">
        <v>199</v>
      </c>
      <c r="C392">
        <v>2024</v>
      </c>
      <c r="D392" t="s">
        <v>255</v>
      </c>
      <c r="E392" s="16">
        <v>45518</v>
      </c>
      <c r="F392" t="s">
        <v>260</v>
      </c>
      <c r="G392">
        <v>139</v>
      </c>
      <c r="H392">
        <f t="shared" si="34"/>
        <v>29</v>
      </c>
      <c r="I392">
        <v>29</v>
      </c>
      <c r="L392">
        <v>29</v>
      </c>
      <c r="O392">
        <f>Tabla5[[#This Row],[Taladros Simples]]+Tabla5[[#This Row],[Taladros Dobles]]+Tabla5[[#This Row],[Taladros Triples]]</f>
        <v>29</v>
      </c>
      <c r="S392" s="17">
        <v>113</v>
      </c>
      <c r="W392">
        <v>200</v>
      </c>
      <c r="AF392" t="e">
        <f>-#REF!</f>
        <v>#REF!</v>
      </c>
      <c r="AP392" t="str">
        <f t="shared" si="35"/>
        <v>Banco-Vol 139</v>
      </c>
    </row>
    <row r="393" spans="1:42" ht="15" customHeight="1" x14ac:dyDescent="0.3">
      <c r="A393" s="30">
        <v>140</v>
      </c>
      <c r="B393" s="12" t="s">
        <v>199</v>
      </c>
      <c r="C393">
        <v>2024</v>
      </c>
      <c r="D393" t="s">
        <v>255</v>
      </c>
      <c r="E393" s="16">
        <v>45519</v>
      </c>
      <c r="F393" t="s">
        <v>260</v>
      </c>
      <c r="G393">
        <f>+Tabla5[[#This Row],[N°¨Vold.]]</f>
        <v>140</v>
      </c>
      <c r="H393">
        <f t="shared" si="34"/>
        <v>65</v>
      </c>
      <c r="I393">
        <v>65</v>
      </c>
      <c r="L393">
        <v>65</v>
      </c>
      <c r="O393">
        <f>Tabla5[[#This Row],[Taladros Simples]]+Tabla5[[#This Row],[Taladros Dobles]]+Tabla5[[#This Row],[Taladros Triples]]</f>
        <v>65</v>
      </c>
      <c r="W393">
        <v>200</v>
      </c>
      <c r="AF393" t="e">
        <f>-#REF!</f>
        <v>#REF!</v>
      </c>
      <c r="AP393" t="str">
        <f t="shared" si="35"/>
        <v>Banco-Vol 140</v>
      </c>
    </row>
    <row r="394" spans="1:42" ht="15" customHeight="1" x14ac:dyDescent="0.3">
      <c r="A394" s="30" t="s">
        <v>280</v>
      </c>
      <c r="B394" s="12" t="s">
        <v>144</v>
      </c>
      <c r="C394">
        <v>2024</v>
      </c>
      <c r="D394" t="s">
        <v>255</v>
      </c>
      <c r="E394" s="16">
        <v>45519</v>
      </c>
      <c r="F394" t="s">
        <v>260</v>
      </c>
      <c r="G394">
        <v>224</v>
      </c>
      <c r="H394">
        <v>16</v>
      </c>
      <c r="I394">
        <v>0</v>
      </c>
      <c r="K394">
        <v>16</v>
      </c>
      <c r="L394">
        <v>16</v>
      </c>
      <c r="O394">
        <v>16</v>
      </c>
      <c r="S394" s="17">
        <v>111</v>
      </c>
      <c r="X394">
        <v>200</v>
      </c>
      <c r="AF394" t="e">
        <f>-#REF!</f>
        <v>#REF!</v>
      </c>
      <c r="AP394" t="str">
        <f t="shared" si="35"/>
        <v>Banco-Vol 224</v>
      </c>
    </row>
    <row r="395" spans="1:42" ht="15" customHeight="1" x14ac:dyDescent="0.3">
      <c r="A395" s="30" t="s">
        <v>281</v>
      </c>
      <c r="B395" s="12" t="s">
        <v>144</v>
      </c>
      <c r="C395">
        <v>2024</v>
      </c>
      <c r="D395" t="s">
        <v>255</v>
      </c>
      <c r="E395" s="16" t="s">
        <v>282</v>
      </c>
      <c r="F395" t="s">
        <v>260</v>
      </c>
      <c r="G395">
        <v>225</v>
      </c>
      <c r="H395">
        <v>13</v>
      </c>
      <c r="I395">
        <v>0</v>
      </c>
      <c r="K395">
        <v>13</v>
      </c>
      <c r="L395">
        <v>13</v>
      </c>
      <c r="O395">
        <v>13</v>
      </c>
      <c r="R395" s="17">
        <v>146</v>
      </c>
      <c r="X395">
        <v>200</v>
      </c>
      <c r="AF395" t="e">
        <f>-#REF!</f>
        <v>#REF!</v>
      </c>
      <c r="AP395" t="str">
        <f t="shared" si="35"/>
        <v>Banco-Vol 225</v>
      </c>
    </row>
    <row r="396" spans="1:42" ht="15" customHeight="1" x14ac:dyDescent="0.3">
      <c r="A396" s="30" t="s">
        <v>283</v>
      </c>
      <c r="B396" s="12" t="s">
        <v>144</v>
      </c>
      <c r="C396">
        <v>2024</v>
      </c>
      <c r="D396" t="s">
        <v>255</v>
      </c>
      <c r="E396" s="16" t="s">
        <v>282</v>
      </c>
      <c r="F396" t="s">
        <v>260</v>
      </c>
      <c r="G396">
        <v>226</v>
      </c>
      <c r="H396">
        <v>74</v>
      </c>
      <c r="I396">
        <v>0</v>
      </c>
      <c r="K396">
        <v>74</v>
      </c>
      <c r="L396">
        <v>74</v>
      </c>
      <c r="O396">
        <v>74</v>
      </c>
      <c r="S396" s="17">
        <v>363</v>
      </c>
      <c r="W396">
        <v>200</v>
      </c>
      <c r="AF396" t="e">
        <f>-#REF!</f>
        <v>#REF!</v>
      </c>
      <c r="AP396" t="str">
        <f t="shared" si="35"/>
        <v>Banco-Vol 226</v>
      </c>
    </row>
    <row r="397" spans="1:42" ht="15" customHeight="1" x14ac:dyDescent="0.3">
      <c r="A397" s="30">
        <v>141</v>
      </c>
      <c r="B397" s="12" t="s">
        <v>199</v>
      </c>
      <c r="C397">
        <v>2024</v>
      </c>
      <c r="D397" t="s">
        <v>255</v>
      </c>
      <c r="E397" s="16">
        <v>45520</v>
      </c>
      <c r="F397" t="s">
        <v>260</v>
      </c>
      <c r="G397">
        <f>+Tabla5[[#This Row],[N°¨Vold.]]</f>
        <v>141</v>
      </c>
      <c r="H397">
        <f t="shared" si="34"/>
        <v>24</v>
      </c>
      <c r="I397">
        <v>24</v>
      </c>
      <c r="L397">
        <v>24</v>
      </c>
      <c r="O397">
        <v>24</v>
      </c>
      <c r="W397">
        <v>200</v>
      </c>
      <c r="AF397" t="e">
        <f>-#REF!</f>
        <v>#REF!</v>
      </c>
      <c r="AP397" t="str">
        <f t="shared" si="35"/>
        <v>Banco-Vol 141</v>
      </c>
    </row>
    <row r="398" spans="1:42" ht="15" customHeight="1" x14ac:dyDescent="0.3">
      <c r="A398" s="30" t="s">
        <v>284</v>
      </c>
      <c r="B398" s="12" t="s">
        <v>144</v>
      </c>
      <c r="C398">
        <v>2024</v>
      </c>
      <c r="D398" t="s">
        <v>255</v>
      </c>
      <c r="E398" s="16" t="s">
        <v>285</v>
      </c>
      <c r="F398" t="s">
        <v>260</v>
      </c>
      <c r="G398">
        <v>227</v>
      </c>
      <c r="H398">
        <v>33</v>
      </c>
      <c r="I398">
        <v>0</v>
      </c>
      <c r="K398">
        <v>33</v>
      </c>
      <c r="L398">
        <v>33</v>
      </c>
      <c r="O398">
        <f>Tabla5[[#This Row],[Taladros Simples]]+Tabla5[[#This Row],[Taladros Dobles]]+Tabla5[[#This Row],[Taladros Triples]]</f>
        <v>33</v>
      </c>
      <c r="R398" s="17">
        <v>337</v>
      </c>
      <c r="W398">
        <v>200</v>
      </c>
      <c r="AF398" t="e">
        <f>-#REF!</f>
        <v>#REF!</v>
      </c>
      <c r="AP398" t="str">
        <f t="shared" si="35"/>
        <v>Banco-Vol 227</v>
      </c>
    </row>
    <row r="399" spans="1:42" ht="15" customHeight="1" x14ac:dyDescent="0.3">
      <c r="A399" s="30">
        <v>142</v>
      </c>
      <c r="B399" s="12" t="s">
        <v>199</v>
      </c>
      <c r="C399">
        <v>2024</v>
      </c>
      <c r="D399" t="s">
        <v>255</v>
      </c>
      <c r="E399" s="16" t="s">
        <v>286</v>
      </c>
      <c r="F399" t="s">
        <v>260</v>
      </c>
      <c r="G399">
        <v>142</v>
      </c>
      <c r="H399">
        <f t="shared" si="34"/>
        <v>17</v>
      </c>
      <c r="I399">
        <v>17</v>
      </c>
      <c r="O399">
        <f>Tabla5[[#This Row],[Taladros Simples]]+Tabla5[[#This Row],[Taladros Dobles]]+Tabla5[[#This Row],[Taladros Triples]]</f>
        <v>0</v>
      </c>
      <c r="W399">
        <v>200</v>
      </c>
      <c r="AF399" t="e">
        <f>-#REF!</f>
        <v>#REF!</v>
      </c>
      <c r="AP399" t="str">
        <f t="shared" si="35"/>
        <v>Banco-Vol 142</v>
      </c>
    </row>
    <row r="400" spans="1:42" ht="15" customHeight="1" x14ac:dyDescent="0.3">
      <c r="A400" s="30" t="s">
        <v>287</v>
      </c>
      <c r="B400" s="12" t="s">
        <v>144</v>
      </c>
      <c r="C400">
        <v>2024</v>
      </c>
      <c r="D400" t="s">
        <v>255</v>
      </c>
      <c r="E400" s="16" t="s">
        <v>288</v>
      </c>
      <c r="F400" t="s">
        <v>260</v>
      </c>
      <c r="G400">
        <v>228</v>
      </c>
      <c r="H400">
        <v>23</v>
      </c>
      <c r="K400">
        <v>23</v>
      </c>
      <c r="O400">
        <v>23</v>
      </c>
      <c r="W400">
        <v>200</v>
      </c>
      <c r="AF400" t="e">
        <f>-#REF!</f>
        <v>#REF!</v>
      </c>
      <c r="AP400" t="str">
        <f t="shared" si="35"/>
        <v>Banco-Vol 228</v>
      </c>
    </row>
    <row r="401" spans="1:42" ht="15" customHeight="1" x14ac:dyDescent="0.3">
      <c r="A401" s="30">
        <v>143</v>
      </c>
      <c r="B401" s="12" t="s">
        <v>199</v>
      </c>
      <c r="C401">
        <v>2024</v>
      </c>
      <c r="D401" t="s">
        <v>255</v>
      </c>
      <c r="E401" s="16">
        <v>45525</v>
      </c>
      <c r="F401" t="s">
        <v>260</v>
      </c>
      <c r="G401">
        <v>143</v>
      </c>
      <c r="H401">
        <f t="shared" si="34"/>
        <v>23</v>
      </c>
      <c r="I401">
        <f>+Tabla5[[#This Row],[N°TOTAL TALADROS CARGADOS]]</f>
        <v>23</v>
      </c>
      <c r="L401">
        <v>23</v>
      </c>
      <c r="O401">
        <f>Tabla5[[#This Row],[Taladros Simples]]+Tabla5[[#This Row],[Taladros Dobles]]+Tabla5[[#This Row],[Taladros Triples]]</f>
        <v>23</v>
      </c>
      <c r="S401" s="17">
        <v>54</v>
      </c>
      <c r="W401">
        <v>200</v>
      </c>
      <c r="AF401" t="e">
        <f>-#REF!</f>
        <v>#REF!</v>
      </c>
      <c r="AP401" t="str">
        <f t="shared" si="35"/>
        <v>Banco-Vol 143</v>
      </c>
    </row>
    <row r="402" spans="1:42" ht="15" customHeight="1" x14ac:dyDescent="0.3">
      <c r="A402" s="30">
        <v>144</v>
      </c>
      <c r="B402" s="12" t="s">
        <v>199</v>
      </c>
      <c r="C402">
        <v>2024</v>
      </c>
      <c r="D402" t="s">
        <v>255</v>
      </c>
      <c r="E402" s="16">
        <v>45526</v>
      </c>
      <c r="F402" t="s">
        <v>260</v>
      </c>
      <c r="G402">
        <v>144</v>
      </c>
      <c r="H402">
        <f t="shared" si="34"/>
        <v>25</v>
      </c>
      <c r="I402">
        <v>25</v>
      </c>
      <c r="L402">
        <v>25</v>
      </c>
      <c r="O402">
        <f>Tabla5[[#This Row],[Taladros Simples]]+Tabla5[[#This Row],[Taladros Dobles]]+Tabla5[[#This Row],[Taladros Triples]]</f>
        <v>25</v>
      </c>
      <c r="W402">
        <v>200</v>
      </c>
      <c r="AF402" t="e">
        <f>-#REF!</f>
        <v>#REF!</v>
      </c>
      <c r="AP402" t="str">
        <f t="shared" si="35"/>
        <v>Banco-Vol 144</v>
      </c>
    </row>
    <row r="403" spans="1:42" ht="15" customHeight="1" x14ac:dyDescent="0.3">
      <c r="A403" s="30">
        <v>145</v>
      </c>
      <c r="B403" s="12" t="s">
        <v>199</v>
      </c>
      <c r="C403">
        <v>2024</v>
      </c>
      <c r="D403" t="s">
        <v>255</v>
      </c>
      <c r="E403" s="16">
        <v>45526</v>
      </c>
      <c r="F403" t="s">
        <v>260</v>
      </c>
      <c r="G403">
        <v>145</v>
      </c>
      <c r="H403">
        <f t="shared" si="34"/>
        <v>21</v>
      </c>
      <c r="I403">
        <f>+Tabla5[[#This Row],[N°TOTAL TALADROS CARGADOS]]</f>
        <v>21</v>
      </c>
      <c r="L403">
        <v>21</v>
      </c>
      <c r="O403">
        <f>Tabla5[[#This Row],[Taladros Simples]]+Tabla5[[#This Row],[Taladros Dobles]]+Tabla5[[#This Row],[Taladros Triples]]</f>
        <v>21</v>
      </c>
      <c r="W403">
        <v>200</v>
      </c>
      <c r="AF403" t="e">
        <f>-#REF!</f>
        <v>#REF!</v>
      </c>
      <c r="AP403" t="str">
        <f t="shared" si="35"/>
        <v>Banco-Vol 145</v>
      </c>
    </row>
    <row r="404" spans="1:42" ht="15" customHeight="1" x14ac:dyDescent="0.3">
      <c r="A404" s="30">
        <v>146</v>
      </c>
      <c r="B404" s="12" t="s">
        <v>199</v>
      </c>
      <c r="C404">
        <v>2024</v>
      </c>
      <c r="D404" t="s">
        <v>255</v>
      </c>
      <c r="E404" s="16">
        <v>45531</v>
      </c>
      <c r="F404" t="s">
        <v>260</v>
      </c>
      <c r="G404">
        <v>146</v>
      </c>
      <c r="H404">
        <f>I404</f>
        <v>65</v>
      </c>
      <c r="I404">
        <f>+Tabla5[[#This Row],[N°TOTAL TALADROS CARGADOS]]</f>
        <v>65</v>
      </c>
      <c r="L404">
        <v>65</v>
      </c>
      <c r="O404">
        <f>Tabla5[[#This Row],[Taladros Simples]]+Tabla5[[#This Row],[Taladros Dobles]]+Tabla5[[#This Row],[Taladros Triples]]</f>
        <v>65</v>
      </c>
      <c r="W404">
        <v>200</v>
      </c>
      <c r="AF404" t="e">
        <f>-#REF!</f>
        <v>#REF!</v>
      </c>
      <c r="AP404" t="str">
        <f>CONCATENATE(F404,"-","Vol"," ",G404)</f>
        <v>Banco-Vol 146</v>
      </c>
    </row>
  </sheetData>
  <mergeCells count="25">
    <mergeCell ref="AG24:AQ24"/>
    <mergeCell ref="D21:F21"/>
    <mergeCell ref="L24:O24"/>
    <mergeCell ref="Y24:AB24"/>
    <mergeCell ref="D8:F8"/>
    <mergeCell ref="D16:F16"/>
    <mergeCell ref="D13:F13"/>
    <mergeCell ref="D14:F14"/>
    <mergeCell ref="D9:F9"/>
    <mergeCell ref="A15:C23"/>
    <mergeCell ref="D22:F22"/>
    <mergeCell ref="A4:C14"/>
    <mergeCell ref="A24:E24"/>
    <mergeCell ref="F24:G24"/>
    <mergeCell ref="D4:F4"/>
    <mergeCell ref="D7:F7"/>
    <mergeCell ref="D15:F15"/>
    <mergeCell ref="D23:F23"/>
    <mergeCell ref="D10:F10"/>
    <mergeCell ref="D20:F20"/>
    <mergeCell ref="D11:F11"/>
    <mergeCell ref="D18:F18"/>
    <mergeCell ref="D12:F12"/>
    <mergeCell ref="D17:F17"/>
    <mergeCell ref="D19:F19"/>
  </mergeCells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>
      <selection activeCell="C4" sqref="C4"/>
    </sheetView>
  </sheetViews>
  <sheetFormatPr baseColWidth="10" defaultColWidth="8.6640625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D318"/>
  <sheetViews>
    <sheetView showGridLines="0" zoomScale="55" zoomScaleNormal="55" workbookViewId="0">
      <selection activeCell="E318" sqref="E318"/>
    </sheetView>
  </sheetViews>
  <sheetFormatPr baseColWidth="10" defaultColWidth="11.44140625" defaultRowHeight="14.4" x14ac:dyDescent="0.3"/>
  <cols>
    <col min="1" max="1" width="24" bestFit="1" customWidth="1"/>
    <col min="2" max="3" width="34.21875" bestFit="1" customWidth="1"/>
    <col min="4" max="4" width="18.109375" bestFit="1" customWidth="1"/>
    <col min="5" max="5" width="36.44140625" bestFit="1" customWidth="1"/>
    <col min="6" max="22" width="12.44140625" customWidth="1"/>
  </cols>
  <sheetData>
    <row r="3" spans="1:1" x14ac:dyDescent="0.3">
      <c r="A3" s="26" t="s">
        <v>289</v>
      </c>
    </row>
    <row r="4" spans="1:1" x14ac:dyDescent="0.3">
      <c r="A4" s="27" t="s">
        <v>290</v>
      </c>
    </row>
    <row r="20" spans="1:2" x14ac:dyDescent="0.3">
      <c r="A20" s="26" t="s">
        <v>104</v>
      </c>
      <c r="B20" t="s">
        <v>145</v>
      </c>
    </row>
    <row r="22" spans="1:2" ht="33.75" customHeight="1" x14ac:dyDescent="0.3">
      <c r="A22" s="26" t="s">
        <v>291</v>
      </c>
    </row>
    <row r="23" spans="1:2" x14ac:dyDescent="0.3">
      <c r="A23" s="29">
        <v>45369</v>
      </c>
    </row>
    <row r="24" spans="1:2" x14ac:dyDescent="0.3">
      <c r="A24" s="29">
        <v>45371</v>
      </c>
    </row>
    <row r="25" spans="1:2" x14ac:dyDescent="0.3">
      <c r="A25" s="29">
        <v>45375</v>
      </c>
    </row>
    <row r="26" spans="1:2" x14ac:dyDescent="0.3">
      <c r="A26" s="29">
        <v>45378</v>
      </c>
    </row>
    <row r="27" spans="1:2" x14ac:dyDescent="0.3">
      <c r="A27" s="29">
        <v>45379</v>
      </c>
    </row>
    <row r="28" spans="1:2" x14ac:dyDescent="0.3">
      <c r="A28" s="29">
        <v>45380</v>
      </c>
    </row>
    <row r="29" spans="1:2" x14ac:dyDescent="0.3">
      <c r="A29" s="29">
        <v>45381</v>
      </c>
    </row>
    <row r="30" spans="1:2" x14ac:dyDescent="0.3">
      <c r="A30" s="29">
        <v>45382</v>
      </c>
    </row>
    <row r="31" spans="1:2" x14ac:dyDescent="0.3">
      <c r="A31" s="29">
        <v>45377</v>
      </c>
    </row>
    <row r="32" spans="1:2" x14ac:dyDescent="0.3">
      <c r="A32" s="29" t="s">
        <v>290</v>
      </c>
    </row>
    <row r="49" spans="1:2" x14ac:dyDescent="0.3">
      <c r="A49" s="26" t="s">
        <v>104</v>
      </c>
      <c r="B49" t="s">
        <v>145</v>
      </c>
    </row>
    <row r="51" spans="1:2" ht="30" customHeight="1" x14ac:dyDescent="0.3">
      <c r="A51" s="26" t="s">
        <v>291</v>
      </c>
    </row>
    <row r="52" spans="1:2" x14ac:dyDescent="0.3">
      <c r="A52" s="29">
        <v>45369</v>
      </c>
    </row>
    <row r="53" spans="1:2" x14ac:dyDescent="0.3">
      <c r="A53" s="29">
        <v>45371</v>
      </c>
    </row>
    <row r="54" spans="1:2" x14ac:dyDescent="0.3">
      <c r="A54" s="29">
        <v>45375</v>
      </c>
    </row>
    <row r="55" spans="1:2" x14ac:dyDescent="0.3">
      <c r="A55" s="29">
        <v>45378</v>
      </c>
    </row>
    <row r="56" spans="1:2" x14ac:dyDescent="0.3">
      <c r="A56" s="29">
        <v>45379</v>
      </c>
    </row>
    <row r="57" spans="1:2" x14ac:dyDescent="0.3">
      <c r="A57" s="29">
        <v>45380</v>
      </c>
    </row>
    <row r="58" spans="1:2" x14ac:dyDescent="0.3">
      <c r="A58" s="29">
        <v>45381</v>
      </c>
    </row>
    <row r="59" spans="1:2" x14ac:dyDescent="0.3">
      <c r="A59" s="29">
        <v>45382</v>
      </c>
    </row>
    <row r="60" spans="1:2" x14ac:dyDescent="0.3">
      <c r="A60" s="29">
        <v>45377</v>
      </c>
    </row>
    <row r="61" spans="1:2" x14ac:dyDescent="0.3">
      <c r="A61" s="29" t="s">
        <v>290</v>
      </c>
    </row>
    <row r="78" spans="1:2" x14ac:dyDescent="0.3">
      <c r="A78" s="26" t="s">
        <v>104</v>
      </c>
      <c r="B78" t="s">
        <v>145</v>
      </c>
    </row>
    <row r="99" spans="1:3" x14ac:dyDescent="0.3">
      <c r="A99" s="26" t="s">
        <v>104</v>
      </c>
      <c r="B99" t="s">
        <v>145</v>
      </c>
    </row>
    <row r="101" spans="1:3" x14ac:dyDescent="0.3">
      <c r="A101" t="s">
        <v>292</v>
      </c>
      <c r="B101" t="s">
        <v>293</v>
      </c>
      <c r="C101" t="s">
        <v>294</v>
      </c>
    </row>
    <row r="102" spans="1:3" x14ac:dyDescent="0.3">
      <c r="A102">
        <v>809</v>
      </c>
      <c r="B102">
        <v>0</v>
      </c>
      <c r="C102">
        <v>0</v>
      </c>
    </row>
    <row r="122" spans="1:4" x14ac:dyDescent="0.3">
      <c r="A122" s="26" t="s">
        <v>104</v>
      </c>
      <c r="B122" t="s">
        <v>145</v>
      </c>
    </row>
    <row r="124" spans="1:4" ht="30" customHeight="1" x14ac:dyDescent="0.3">
      <c r="A124" s="26" t="s">
        <v>291</v>
      </c>
      <c r="B124" t="s">
        <v>295</v>
      </c>
      <c r="C124" t="s">
        <v>296</v>
      </c>
      <c r="D124" t="s">
        <v>297</v>
      </c>
    </row>
    <row r="125" spans="1:4" x14ac:dyDescent="0.3">
      <c r="A125" s="29">
        <v>45369</v>
      </c>
      <c r="B125">
        <v>0</v>
      </c>
      <c r="C125">
        <v>0</v>
      </c>
      <c r="D125">
        <v>0</v>
      </c>
    </row>
    <row r="126" spans="1:4" x14ac:dyDescent="0.3">
      <c r="A126" s="29">
        <v>45371</v>
      </c>
      <c r="B126">
        <v>0</v>
      </c>
      <c r="C126">
        <v>0</v>
      </c>
      <c r="D126">
        <v>0</v>
      </c>
    </row>
    <row r="127" spans="1:4" x14ac:dyDescent="0.3">
      <c r="A127" s="29">
        <v>45375</v>
      </c>
      <c r="B127">
        <v>0</v>
      </c>
      <c r="C127">
        <v>0</v>
      </c>
      <c r="D127">
        <v>0</v>
      </c>
    </row>
    <row r="128" spans="1:4" x14ac:dyDescent="0.3">
      <c r="A128" s="29">
        <v>45378</v>
      </c>
      <c r="B128">
        <v>0</v>
      </c>
      <c r="C128">
        <v>0</v>
      </c>
      <c r="D128">
        <v>0</v>
      </c>
    </row>
    <row r="129" spans="1:4" x14ac:dyDescent="0.3">
      <c r="A129" s="29">
        <v>45379</v>
      </c>
      <c r="B129">
        <v>0</v>
      </c>
      <c r="C129">
        <v>0</v>
      </c>
      <c r="D129">
        <v>0</v>
      </c>
    </row>
    <row r="130" spans="1:4" x14ac:dyDescent="0.3">
      <c r="A130" s="29">
        <v>45380</v>
      </c>
      <c r="B130">
        <v>0</v>
      </c>
      <c r="C130">
        <v>0</v>
      </c>
      <c r="D130">
        <v>0</v>
      </c>
    </row>
    <row r="131" spans="1:4" x14ac:dyDescent="0.3">
      <c r="A131" s="29">
        <v>45381</v>
      </c>
      <c r="B131">
        <v>0</v>
      </c>
      <c r="C131">
        <v>0</v>
      </c>
      <c r="D131">
        <v>0</v>
      </c>
    </row>
    <row r="132" spans="1:4" x14ac:dyDescent="0.3">
      <c r="A132" s="29">
        <v>45382</v>
      </c>
      <c r="B132">
        <v>0</v>
      </c>
      <c r="C132">
        <v>0</v>
      </c>
      <c r="D132">
        <v>0</v>
      </c>
    </row>
    <row r="133" spans="1:4" x14ac:dyDescent="0.3">
      <c r="A133" s="29">
        <v>45377</v>
      </c>
      <c r="B133">
        <v>0</v>
      </c>
      <c r="C133">
        <v>0</v>
      </c>
      <c r="D133">
        <v>0</v>
      </c>
    </row>
    <row r="134" spans="1:4" x14ac:dyDescent="0.3">
      <c r="A134" s="29" t="s">
        <v>290</v>
      </c>
      <c r="B134">
        <v>0</v>
      </c>
      <c r="C134">
        <v>0</v>
      </c>
      <c r="D134">
        <v>0</v>
      </c>
    </row>
    <row r="151" spans="1:3" x14ac:dyDescent="0.3">
      <c r="A151" s="26" t="s">
        <v>104</v>
      </c>
      <c r="B151" t="s">
        <v>145</v>
      </c>
    </row>
    <row r="153" spans="1:3" ht="30" customHeight="1" x14ac:dyDescent="0.3">
      <c r="A153" s="26" t="s">
        <v>291</v>
      </c>
      <c r="B153" t="s">
        <v>298</v>
      </c>
      <c r="C153" t="s">
        <v>299</v>
      </c>
    </row>
    <row r="154" spans="1:3" x14ac:dyDescent="0.3">
      <c r="A154" s="29">
        <v>45369</v>
      </c>
      <c r="B154">
        <v>0</v>
      </c>
      <c r="C154">
        <v>0</v>
      </c>
    </row>
    <row r="155" spans="1:3" x14ac:dyDescent="0.3">
      <c r="A155" s="29">
        <v>45371</v>
      </c>
    </row>
    <row r="156" spans="1:3" x14ac:dyDescent="0.3">
      <c r="A156" s="29">
        <v>45375</v>
      </c>
    </row>
    <row r="157" spans="1:3" x14ac:dyDescent="0.3">
      <c r="A157" s="29">
        <v>45378</v>
      </c>
    </row>
    <row r="158" spans="1:3" x14ac:dyDescent="0.3">
      <c r="A158" s="29">
        <v>45379</v>
      </c>
    </row>
    <row r="159" spans="1:3" x14ac:dyDescent="0.3">
      <c r="A159" s="29">
        <v>45380</v>
      </c>
    </row>
    <row r="160" spans="1:3" x14ac:dyDescent="0.3">
      <c r="A160" s="29">
        <v>45381</v>
      </c>
    </row>
    <row r="161" spans="1:3" x14ac:dyDescent="0.3">
      <c r="A161" s="29">
        <v>45382</v>
      </c>
      <c r="C161">
        <v>1</v>
      </c>
    </row>
    <row r="162" spans="1:3" x14ac:dyDescent="0.3">
      <c r="A162" s="29">
        <v>45377</v>
      </c>
    </row>
    <row r="163" spans="1:3" x14ac:dyDescent="0.3">
      <c r="A163" s="29" t="s">
        <v>290</v>
      </c>
      <c r="B163">
        <v>0</v>
      </c>
      <c r="C163">
        <v>1</v>
      </c>
    </row>
    <row r="179" spans="1:2" x14ac:dyDescent="0.3">
      <c r="A179" s="26" t="s">
        <v>104</v>
      </c>
      <c r="B179" t="s">
        <v>145</v>
      </c>
    </row>
    <row r="181" spans="1:2" ht="30" customHeight="1" x14ac:dyDescent="0.3">
      <c r="A181" s="26" t="s">
        <v>291</v>
      </c>
      <c r="B181" t="s">
        <v>300</v>
      </c>
    </row>
    <row r="182" spans="1:2" x14ac:dyDescent="0.3">
      <c r="A182" s="29">
        <v>45369</v>
      </c>
      <c r="B182">
        <v>0.3</v>
      </c>
    </row>
    <row r="183" spans="1:2" x14ac:dyDescent="0.3">
      <c r="A183" s="29">
        <v>45371</v>
      </c>
      <c r="B183">
        <v>0.32</v>
      </c>
    </row>
    <row r="184" spans="1:2" x14ac:dyDescent="0.3">
      <c r="A184" s="29">
        <v>45375</v>
      </c>
    </row>
    <row r="185" spans="1:2" x14ac:dyDescent="0.3">
      <c r="A185" s="29">
        <v>45378</v>
      </c>
      <c r="B185">
        <v>2.46</v>
      </c>
    </row>
    <row r="186" spans="1:2" x14ac:dyDescent="0.3">
      <c r="A186" s="29">
        <v>45379</v>
      </c>
      <c r="B186">
        <v>2.0299999999999998</v>
      </c>
    </row>
    <row r="187" spans="1:2" x14ac:dyDescent="0.3">
      <c r="A187" s="29">
        <v>45380</v>
      </c>
      <c r="B187">
        <v>2.0099999999999998</v>
      </c>
    </row>
    <row r="188" spans="1:2" x14ac:dyDescent="0.3">
      <c r="A188" s="29">
        <v>45381</v>
      </c>
      <c r="B188">
        <v>2.65</v>
      </c>
    </row>
    <row r="189" spans="1:2" x14ac:dyDescent="0.3">
      <c r="A189" s="29">
        <v>45382</v>
      </c>
      <c r="B189">
        <v>2.3199999999999998</v>
      </c>
    </row>
    <row r="190" spans="1:2" x14ac:dyDescent="0.3">
      <c r="A190" s="29">
        <v>45377</v>
      </c>
      <c r="B190">
        <v>2.35</v>
      </c>
    </row>
    <row r="191" spans="1:2" x14ac:dyDescent="0.3">
      <c r="A191" s="29" t="s">
        <v>290</v>
      </c>
      <c r="B191">
        <v>14.44</v>
      </c>
    </row>
    <row r="207" spans="1:2" x14ac:dyDescent="0.3">
      <c r="A207" s="26" t="s">
        <v>104</v>
      </c>
      <c r="B207" t="s">
        <v>145</v>
      </c>
    </row>
    <row r="209" spans="1:2" ht="30" customHeight="1" x14ac:dyDescent="0.3">
      <c r="A209" s="26" t="s">
        <v>291</v>
      </c>
      <c r="B209" t="s">
        <v>301</v>
      </c>
    </row>
    <row r="210" spans="1:2" x14ac:dyDescent="0.3">
      <c r="A210" s="29">
        <v>45369</v>
      </c>
      <c r="B210" t="e">
        <v>#REF!</v>
      </c>
    </row>
    <row r="211" spans="1:2" x14ac:dyDescent="0.3">
      <c r="A211" s="29">
        <v>45371</v>
      </c>
      <c r="B211">
        <v>0</v>
      </c>
    </row>
    <row r="212" spans="1:2" x14ac:dyDescent="0.3">
      <c r="A212" s="29">
        <v>45375</v>
      </c>
      <c r="B212">
        <v>0</v>
      </c>
    </row>
    <row r="213" spans="1:2" x14ac:dyDescent="0.3">
      <c r="A213" s="29">
        <v>45378</v>
      </c>
      <c r="B213" t="e">
        <v>#REF!</v>
      </c>
    </row>
    <row r="214" spans="1:2" x14ac:dyDescent="0.3">
      <c r="A214" s="29">
        <v>45379</v>
      </c>
      <c r="B214" t="e">
        <v>#REF!</v>
      </c>
    </row>
    <row r="215" spans="1:2" x14ac:dyDescent="0.3">
      <c r="A215" s="29">
        <v>45380</v>
      </c>
      <c r="B215" t="e">
        <v>#REF!</v>
      </c>
    </row>
    <row r="216" spans="1:2" x14ac:dyDescent="0.3">
      <c r="A216" s="29">
        <v>45381</v>
      </c>
      <c r="B216" t="e">
        <v>#REF!</v>
      </c>
    </row>
    <row r="217" spans="1:2" x14ac:dyDescent="0.3">
      <c r="A217" s="29">
        <v>45382</v>
      </c>
      <c r="B217" t="e">
        <v>#REF!</v>
      </c>
    </row>
    <row r="218" spans="1:2" x14ac:dyDescent="0.3">
      <c r="A218" s="29">
        <v>45377</v>
      </c>
      <c r="B218" t="e">
        <v>#REF!</v>
      </c>
    </row>
    <row r="219" spans="1:2" x14ac:dyDescent="0.3">
      <c r="A219" s="29" t="s">
        <v>290</v>
      </c>
      <c r="B219" t="e">
        <v>#REF!</v>
      </c>
    </row>
    <row r="239" spans="1:2" x14ac:dyDescent="0.3">
      <c r="A239" s="26" t="s">
        <v>104</v>
      </c>
      <c r="B239" t="s">
        <v>145</v>
      </c>
    </row>
    <row r="241" spans="1:3" x14ac:dyDescent="0.3">
      <c r="A241" s="26" t="s">
        <v>291</v>
      </c>
      <c r="B241" t="s">
        <v>302</v>
      </c>
      <c r="C241" t="s">
        <v>303</v>
      </c>
    </row>
    <row r="242" spans="1:3" x14ac:dyDescent="0.3">
      <c r="A242" s="29">
        <v>45369</v>
      </c>
      <c r="B242">
        <v>2.98</v>
      </c>
      <c r="C242">
        <v>2.61</v>
      </c>
    </row>
    <row r="243" spans="1:3" x14ac:dyDescent="0.3">
      <c r="A243" s="29">
        <v>45371</v>
      </c>
    </row>
    <row r="244" spans="1:3" x14ac:dyDescent="0.3">
      <c r="A244" s="29">
        <v>45375</v>
      </c>
    </row>
    <row r="245" spans="1:3" x14ac:dyDescent="0.3">
      <c r="A245" s="29">
        <v>45378</v>
      </c>
    </row>
    <row r="246" spans="1:3" x14ac:dyDescent="0.3">
      <c r="A246" s="29">
        <v>45379</v>
      </c>
    </row>
    <row r="247" spans="1:3" x14ac:dyDescent="0.3">
      <c r="A247" s="29">
        <v>45380</v>
      </c>
    </row>
    <row r="248" spans="1:3" x14ac:dyDescent="0.3">
      <c r="A248" s="29">
        <v>45381</v>
      </c>
    </row>
    <row r="249" spans="1:3" x14ac:dyDescent="0.3">
      <c r="A249" s="29">
        <v>45382</v>
      </c>
    </row>
    <row r="250" spans="1:3" x14ac:dyDescent="0.3">
      <c r="A250" s="29">
        <v>45377</v>
      </c>
    </row>
    <row r="251" spans="1:3" x14ac:dyDescent="0.3">
      <c r="A251" s="29" t="s">
        <v>290</v>
      </c>
      <c r="B251">
        <v>2.98</v>
      </c>
      <c r="C251">
        <v>2.61</v>
      </c>
    </row>
    <row r="272" spans="1:2" x14ac:dyDescent="0.3">
      <c r="A272" s="26" t="s">
        <v>104</v>
      </c>
      <c r="B272" t="s">
        <v>145</v>
      </c>
    </row>
    <row r="274" spans="1:3" x14ac:dyDescent="0.3">
      <c r="A274" s="26" t="s">
        <v>291</v>
      </c>
      <c r="B274" t="s">
        <v>304</v>
      </c>
      <c r="C274" t="s">
        <v>305</v>
      </c>
    </row>
    <row r="275" spans="1:3" x14ac:dyDescent="0.3">
      <c r="A275" s="29">
        <v>45369</v>
      </c>
      <c r="B275">
        <v>0.4</v>
      </c>
      <c r="C275">
        <v>1.1100000000000001</v>
      </c>
    </row>
    <row r="276" spans="1:3" x14ac:dyDescent="0.3">
      <c r="A276" s="29">
        <v>45371</v>
      </c>
    </row>
    <row r="277" spans="1:3" x14ac:dyDescent="0.3">
      <c r="A277" s="29">
        <v>45375</v>
      </c>
    </row>
    <row r="278" spans="1:3" x14ac:dyDescent="0.3">
      <c r="A278" s="29">
        <v>45378</v>
      </c>
    </row>
    <row r="279" spans="1:3" x14ac:dyDescent="0.3">
      <c r="A279" s="29">
        <v>45379</v>
      </c>
    </row>
    <row r="280" spans="1:3" x14ac:dyDescent="0.3">
      <c r="A280" s="29">
        <v>45380</v>
      </c>
    </row>
    <row r="281" spans="1:3" x14ac:dyDescent="0.3">
      <c r="A281" s="29">
        <v>45381</v>
      </c>
    </row>
    <row r="282" spans="1:3" x14ac:dyDescent="0.3">
      <c r="A282" s="29">
        <v>45382</v>
      </c>
    </row>
    <row r="283" spans="1:3" x14ac:dyDescent="0.3">
      <c r="A283" s="29">
        <v>45377</v>
      </c>
    </row>
    <row r="284" spans="1:3" x14ac:dyDescent="0.3">
      <c r="A284" s="29" t="s">
        <v>290</v>
      </c>
      <c r="B284">
        <v>0.4</v>
      </c>
      <c r="C284">
        <v>1.1100000000000001</v>
      </c>
    </row>
    <row r="306" spans="1:2" x14ac:dyDescent="0.3">
      <c r="A306" s="26" t="s">
        <v>104</v>
      </c>
      <c r="B306" t="s">
        <v>145</v>
      </c>
    </row>
    <row r="308" spans="1:2" x14ac:dyDescent="0.3">
      <c r="A308" s="26" t="s">
        <v>291</v>
      </c>
    </row>
    <row r="309" spans="1:2" x14ac:dyDescent="0.3">
      <c r="A309" s="29">
        <v>45369</v>
      </c>
    </row>
    <row r="310" spans="1:2" x14ac:dyDescent="0.3">
      <c r="A310" s="29">
        <v>45371</v>
      </c>
    </row>
    <row r="311" spans="1:2" x14ac:dyDescent="0.3">
      <c r="A311" s="29">
        <v>45375</v>
      </c>
    </row>
    <row r="312" spans="1:2" x14ac:dyDescent="0.3">
      <c r="A312" s="29">
        <v>45378</v>
      </c>
    </row>
    <row r="313" spans="1:2" x14ac:dyDescent="0.3">
      <c r="A313" s="29">
        <v>45379</v>
      </c>
    </row>
    <row r="314" spans="1:2" x14ac:dyDescent="0.3">
      <c r="A314" s="29">
        <v>45380</v>
      </c>
    </row>
    <row r="315" spans="1:2" x14ac:dyDescent="0.3">
      <c r="A315" s="29">
        <v>45381</v>
      </c>
    </row>
    <row r="316" spans="1:2" x14ac:dyDescent="0.3">
      <c r="A316" s="29">
        <v>45382</v>
      </c>
    </row>
    <row r="317" spans="1:2" x14ac:dyDescent="0.3">
      <c r="A317" s="29">
        <v>45377</v>
      </c>
    </row>
    <row r="318" spans="1:2" x14ac:dyDescent="0.3">
      <c r="A318" s="29" t="s">
        <v>290</v>
      </c>
    </row>
  </sheetData>
  <pageMargins left="0.7" right="0.7" top="0.75" bottom="0.75" header="0.3" footer="0.3"/>
  <pageSetup paperSize="9" orientation="portrait" horizontalDpi="360" verticalDpi="360" r:id="rId1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21E36-6748-480A-99DD-8D4C1445DBEA}">
  <dimension ref="A1:N166"/>
  <sheetViews>
    <sheetView showGridLines="0" topLeftCell="B1" zoomScale="61" zoomScaleNormal="115" workbookViewId="0">
      <pane ySplit="4" topLeftCell="A5" activePane="bottomLeft" state="frozen"/>
      <selection activeCell="B1" sqref="B1"/>
      <selection pane="bottomLeft" activeCell="B1" sqref="B1:C3"/>
    </sheetView>
  </sheetViews>
  <sheetFormatPr baseColWidth="10" defaultColWidth="11.44140625" defaultRowHeight="14.4" x14ac:dyDescent="0.3"/>
  <cols>
    <col min="1" max="1" width="32.109375" customWidth="1"/>
    <col min="2" max="3" width="18.109375" customWidth="1"/>
    <col min="4" max="4" width="16.6640625" bestFit="1" customWidth="1"/>
    <col min="5" max="5" width="2.44140625" customWidth="1"/>
    <col min="6" max="6" width="17.44140625" style="12" bestFit="1" customWidth="1"/>
    <col min="7" max="7" width="11.44140625" style="12"/>
    <col min="8" max="8" width="1.88671875" customWidth="1"/>
    <col min="9" max="9" width="6.5546875" bestFit="1" customWidth="1"/>
    <col min="10" max="10" width="26.44140625" bestFit="1" customWidth="1"/>
    <col min="13" max="13" width="25" customWidth="1"/>
  </cols>
  <sheetData>
    <row r="1" spans="1:14" ht="15" customHeight="1" x14ac:dyDescent="0.3">
      <c r="B1" s="58" t="s">
        <v>25</v>
      </c>
      <c r="C1" s="58"/>
      <c r="L1" s="58" t="s">
        <v>306</v>
      </c>
      <c r="M1" s="58"/>
    </row>
    <row r="2" spans="1:14" ht="15" customHeight="1" x14ac:dyDescent="0.3">
      <c r="B2" s="58"/>
      <c r="C2" s="58"/>
      <c r="L2" s="58"/>
      <c r="M2" s="58"/>
    </row>
    <row r="3" spans="1:14" ht="18.75" customHeight="1" x14ac:dyDescent="0.3">
      <c r="B3" s="58"/>
      <c r="C3" s="58"/>
      <c r="L3" s="58"/>
      <c r="M3" s="58"/>
    </row>
    <row r="4" spans="1:14" ht="35.25" customHeight="1" x14ac:dyDescent="0.3">
      <c r="A4" t="s">
        <v>3</v>
      </c>
      <c r="B4" t="s">
        <v>4</v>
      </c>
      <c r="C4" t="s">
        <v>5</v>
      </c>
      <c r="D4" t="s">
        <v>6</v>
      </c>
      <c r="F4" s="13" t="s">
        <v>20</v>
      </c>
      <c r="G4" s="13" t="s">
        <v>21</v>
      </c>
      <c r="J4" t="s">
        <v>3</v>
      </c>
      <c r="K4" t="s">
        <v>4</v>
      </c>
      <c r="L4" t="s">
        <v>8</v>
      </c>
    </row>
    <row r="5" spans="1:14" x14ac:dyDescent="0.3">
      <c r="A5" s="1" t="s">
        <v>223</v>
      </c>
      <c r="B5">
        <v>2024</v>
      </c>
      <c r="C5">
        <v>936</v>
      </c>
      <c r="D5">
        <v>15</v>
      </c>
      <c r="F5" s="14">
        <v>96</v>
      </c>
      <c r="G5" s="14">
        <v>159</v>
      </c>
      <c r="J5" s="1">
        <v>45456</v>
      </c>
      <c r="K5">
        <v>2024</v>
      </c>
      <c r="L5">
        <v>6400</v>
      </c>
    </row>
    <row r="6" spans="1:14" x14ac:dyDescent="0.3">
      <c r="A6" s="1">
        <v>45454</v>
      </c>
      <c r="B6">
        <v>2024</v>
      </c>
      <c r="C6">
        <v>2484</v>
      </c>
      <c r="D6">
        <v>15</v>
      </c>
      <c r="F6" s="14">
        <v>97</v>
      </c>
      <c r="G6" s="14">
        <v>167</v>
      </c>
      <c r="J6" s="1">
        <v>45462</v>
      </c>
      <c r="K6">
        <v>2024</v>
      </c>
      <c r="L6">
        <v>40000</v>
      </c>
    </row>
    <row r="7" spans="1:14" x14ac:dyDescent="0.3">
      <c r="A7" s="1">
        <v>45456</v>
      </c>
      <c r="B7">
        <v>2024</v>
      </c>
      <c r="C7">
        <v>2520</v>
      </c>
      <c r="D7">
        <v>15</v>
      </c>
      <c r="F7" s="14">
        <v>98</v>
      </c>
      <c r="G7" s="14">
        <v>172</v>
      </c>
      <c r="J7" s="1">
        <v>45490</v>
      </c>
      <c r="K7">
        <v>2024</v>
      </c>
      <c r="L7">
        <v>-8800</v>
      </c>
      <c r="N7" t="s">
        <v>307</v>
      </c>
    </row>
    <row r="8" spans="1:14" x14ac:dyDescent="0.3">
      <c r="A8" s="1">
        <v>45460</v>
      </c>
      <c r="B8">
        <v>2024</v>
      </c>
      <c r="C8">
        <v>5040</v>
      </c>
      <c r="D8">
        <v>15</v>
      </c>
      <c r="F8" s="14" t="s">
        <v>308</v>
      </c>
      <c r="G8" s="14">
        <v>114</v>
      </c>
      <c r="J8" s="28" t="s">
        <v>19</v>
      </c>
      <c r="K8">
        <v>2024</v>
      </c>
      <c r="L8">
        <v>-800</v>
      </c>
    </row>
    <row r="9" spans="1:14" x14ac:dyDescent="0.3">
      <c r="A9" s="1">
        <v>45471</v>
      </c>
      <c r="B9">
        <v>2024</v>
      </c>
      <c r="C9">
        <v>5040</v>
      </c>
      <c r="D9">
        <v>15</v>
      </c>
      <c r="F9" s="14">
        <v>99</v>
      </c>
      <c r="G9" s="14">
        <v>175</v>
      </c>
      <c r="J9" s="1">
        <v>45504</v>
      </c>
      <c r="K9">
        <v>2024</v>
      </c>
      <c r="L9">
        <v>8800</v>
      </c>
    </row>
    <row r="10" spans="1:14" x14ac:dyDescent="0.3">
      <c r="A10" s="1">
        <v>45465</v>
      </c>
      <c r="B10">
        <v>2024</v>
      </c>
      <c r="C10">
        <v>2004</v>
      </c>
      <c r="D10">
        <v>15</v>
      </c>
      <c r="F10" s="14" t="s">
        <v>309</v>
      </c>
      <c r="G10" s="14">
        <v>118</v>
      </c>
      <c r="J10" s="1" t="s">
        <v>310</v>
      </c>
      <c r="K10">
        <v>2024</v>
      </c>
      <c r="L10">
        <v>1200</v>
      </c>
    </row>
    <row r="11" spans="1:14" x14ac:dyDescent="0.3">
      <c r="A11" s="28"/>
      <c r="F11" s="14">
        <v>100</v>
      </c>
      <c r="G11" s="14">
        <v>165</v>
      </c>
      <c r="J11" s="1" t="s">
        <v>311</v>
      </c>
      <c r="K11">
        <v>2024</v>
      </c>
      <c r="L11">
        <v>800</v>
      </c>
    </row>
    <row r="12" spans="1:14" x14ac:dyDescent="0.3">
      <c r="F12" s="14">
        <v>101</v>
      </c>
      <c r="G12" s="14">
        <v>174</v>
      </c>
    </row>
    <row r="13" spans="1:14" x14ac:dyDescent="0.3">
      <c r="F13" s="14" t="s">
        <v>312</v>
      </c>
      <c r="G13" s="14">
        <v>118</v>
      </c>
    </row>
    <row r="14" spans="1:14" x14ac:dyDescent="0.3">
      <c r="F14" s="14">
        <v>102</v>
      </c>
      <c r="G14" s="14">
        <v>172</v>
      </c>
    </row>
    <row r="15" spans="1:14" x14ac:dyDescent="0.3">
      <c r="F15" s="14" t="s">
        <v>313</v>
      </c>
      <c r="G15" s="14">
        <v>102</v>
      </c>
      <c r="J15" s="67"/>
      <c r="K15" s="67"/>
      <c r="L15" s="67"/>
      <c r="M15" s="67"/>
    </row>
    <row r="16" spans="1:14" x14ac:dyDescent="0.3">
      <c r="F16" s="14">
        <v>103</v>
      </c>
      <c r="G16" s="14">
        <v>179</v>
      </c>
      <c r="J16" s="67"/>
      <c r="K16" s="67"/>
      <c r="L16" s="67"/>
      <c r="M16" s="67"/>
    </row>
    <row r="17" spans="2:13" x14ac:dyDescent="0.3">
      <c r="B17" s="58"/>
      <c r="C17" s="58"/>
      <c r="F17" s="14" t="s">
        <v>314</v>
      </c>
      <c r="G17" s="14">
        <v>128</v>
      </c>
      <c r="J17" s="67"/>
      <c r="K17" s="67"/>
      <c r="L17" s="67"/>
      <c r="M17" s="67"/>
    </row>
    <row r="18" spans="2:13" x14ac:dyDescent="0.3">
      <c r="B18" s="58"/>
      <c r="C18" s="58"/>
      <c r="F18" s="14">
        <v>104</v>
      </c>
      <c r="G18" s="14">
        <v>178</v>
      </c>
      <c r="J18" s="67"/>
      <c r="K18" s="67"/>
      <c r="L18" s="67"/>
      <c r="M18" s="67"/>
    </row>
    <row r="19" spans="2:13" x14ac:dyDescent="0.3">
      <c r="B19" s="58"/>
      <c r="C19" s="58"/>
      <c r="F19" s="14">
        <v>105</v>
      </c>
      <c r="G19" s="14">
        <v>179</v>
      </c>
    </row>
    <row r="20" spans="2:13" x14ac:dyDescent="0.3">
      <c r="F20" s="14" t="s">
        <v>315</v>
      </c>
      <c r="G20" s="14">
        <v>155</v>
      </c>
      <c r="J20" s="1"/>
    </row>
    <row r="21" spans="2:13" x14ac:dyDescent="0.3">
      <c r="F21" s="14" t="s">
        <v>316</v>
      </c>
      <c r="G21" s="14">
        <v>121</v>
      </c>
      <c r="J21" s="1"/>
    </row>
    <row r="22" spans="2:13" x14ac:dyDescent="0.3">
      <c r="F22" s="14">
        <v>106</v>
      </c>
      <c r="G22" s="14">
        <v>186</v>
      </c>
    </row>
    <row r="23" spans="2:13" x14ac:dyDescent="0.3">
      <c r="F23" s="14" t="s">
        <v>317</v>
      </c>
      <c r="G23" s="14">
        <v>41</v>
      </c>
    </row>
    <row r="24" spans="2:13" x14ac:dyDescent="0.3">
      <c r="F24" s="14">
        <v>107</v>
      </c>
      <c r="G24" s="14">
        <v>175</v>
      </c>
    </row>
    <row r="25" spans="2:13" x14ac:dyDescent="0.3">
      <c r="F25" s="14" t="s">
        <v>318</v>
      </c>
      <c r="G25" s="14">
        <v>87</v>
      </c>
    </row>
    <row r="26" spans="2:13" x14ac:dyDescent="0.3">
      <c r="F26" s="14">
        <v>108</v>
      </c>
      <c r="G26" s="14">
        <v>176</v>
      </c>
    </row>
    <row r="27" spans="2:13" x14ac:dyDescent="0.3">
      <c r="F27" s="14" t="s">
        <v>319</v>
      </c>
      <c r="G27" s="14">
        <v>144</v>
      </c>
    </row>
    <row r="28" spans="2:13" x14ac:dyDescent="0.3">
      <c r="F28" s="14">
        <v>109</v>
      </c>
      <c r="G28" s="14">
        <v>176</v>
      </c>
    </row>
    <row r="29" spans="2:13" x14ac:dyDescent="0.3">
      <c r="F29" s="14" t="s">
        <v>320</v>
      </c>
      <c r="G29" s="14">
        <v>152</v>
      </c>
    </row>
    <row r="30" spans="2:13" x14ac:dyDescent="0.3">
      <c r="F30" s="14">
        <v>110</v>
      </c>
      <c r="G30" s="14">
        <v>182</v>
      </c>
    </row>
    <row r="31" spans="2:13" x14ac:dyDescent="0.3">
      <c r="F31" s="14">
        <v>111</v>
      </c>
      <c r="G31" s="14">
        <v>171</v>
      </c>
    </row>
    <row r="32" spans="2:13" x14ac:dyDescent="0.3">
      <c r="F32" s="14" t="s">
        <v>321</v>
      </c>
      <c r="G32" s="14">
        <v>109</v>
      </c>
    </row>
    <row r="33" spans="2:7" x14ac:dyDescent="0.3">
      <c r="F33" s="14">
        <v>112</v>
      </c>
      <c r="G33" s="14">
        <v>143</v>
      </c>
    </row>
    <row r="34" spans="2:7" x14ac:dyDescent="0.3">
      <c r="F34" s="14">
        <v>113</v>
      </c>
      <c r="G34" s="14">
        <v>155</v>
      </c>
    </row>
    <row r="35" spans="2:7" x14ac:dyDescent="0.3">
      <c r="F35" s="14" t="s">
        <v>322</v>
      </c>
      <c r="G35" s="14">
        <v>115</v>
      </c>
    </row>
    <row r="36" spans="2:7" x14ac:dyDescent="0.3">
      <c r="F36" s="14" t="s">
        <v>323</v>
      </c>
      <c r="G36" s="14">
        <v>108</v>
      </c>
    </row>
    <row r="37" spans="2:7" x14ac:dyDescent="0.3">
      <c r="F37" s="14">
        <v>114</v>
      </c>
      <c r="G37" s="14">
        <v>149</v>
      </c>
    </row>
    <row r="38" spans="2:7" x14ac:dyDescent="0.3">
      <c r="F38" s="14">
        <v>115</v>
      </c>
      <c r="G38" s="14">
        <v>74</v>
      </c>
    </row>
    <row r="39" spans="2:7" x14ac:dyDescent="0.3">
      <c r="B39" s="58"/>
      <c r="C39" s="58"/>
      <c r="F39" s="14">
        <v>116</v>
      </c>
      <c r="G39" s="14">
        <v>69</v>
      </c>
    </row>
    <row r="40" spans="2:7" x14ac:dyDescent="0.3">
      <c r="B40" s="58"/>
      <c r="C40" s="58"/>
      <c r="F40" s="14" t="s">
        <v>324</v>
      </c>
      <c r="G40" s="14">
        <v>110</v>
      </c>
    </row>
    <row r="41" spans="2:7" x14ac:dyDescent="0.3">
      <c r="B41" s="58"/>
      <c r="C41" s="58"/>
      <c r="F41" s="14" t="s">
        <v>325</v>
      </c>
      <c r="G41" s="14">
        <v>104</v>
      </c>
    </row>
    <row r="42" spans="2:7" x14ac:dyDescent="0.3">
      <c r="F42" s="14">
        <v>117</v>
      </c>
      <c r="G42" s="14">
        <v>31</v>
      </c>
    </row>
    <row r="43" spans="2:7" x14ac:dyDescent="0.3">
      <c r="F43" s="15">
        <v>118</v>
      </c>
      <c r="G43" s="15">
        <v>98</v>
      </c>
    </row>
    <row r="44" spans="2:7" x14ac:dyDescent="0.3">
      <c r="F44" s="11">
        <v>119</v>
      </c>
      <c r="G44" s="11">
        <v>149</v>
      </c>
    </row>
    <row r="45" spans="2:7" x14ac:dyDescent="0.3">
      <c r="F45" s="11" t="s">
        <v>326</v>
      </c>
      <c r="G45" s="11">
        <v>109</v>
      </c>
    </row>
    <row r="46" spans="2:7" x14ac:dyDescent="0.3">
      <c r="F46" s="11" t="s">
        <v>327</v>
      </c>
      <c r="G46" s="11">
        <v>113</v>
      </c>
    </row>
    <row r="47" spans="2:7" x14ac:dyDescent="0.3">
      <c r="F47" s="11">
        <v>120</v>
      </c>
      <c r="G47" s="11">
        <v>165</v>
      </c>
    </row>
    <row r="48" spans="2:7" x14ac:dyDescent="0.3">
      <c r="F48" s="11">
        <v>121</v>
      </c>
      <c r="G48" s="11">
        <v>150</v>
      </c>
    </row>
    <row r="49" spans="6:7" x14ac:dyDescent="0.3">
      <c r="F49" s="11" t="s">
        <v>328</v>
      </c>
      <c r="G49" s="11">
        <v>40</v>
      </c>
    </row>
    <row r="50" spans="6:7" x14ac:dyDescent="0.3">
      <c r="F50" s="11" t="s">
        <v>329</v>
      </c>
      <c r="G50" s="11">
        <v>110</v>
      </c>
    </row>
    <row r="51" spans="6:7" x14ac:dyDescent="0.3">
      <c r="F51" s="11">
        <v>122</v>
      </c>
      <c r="G51" s="11">
        <v>167</v>
      </c>
    </row>
    <row r="52" spans="6:7" x14ac:dyDescent="0.3">
      <c r="F52" s="11" t="s">
        <v>330</v>
      </c>
      <c r="G52" s="11">
        <v>111</v>
      </c>
    </row>
    <row r="53" spans="6:7" x14ac:dyDescent="0.3">
      <c r="F53" s="11">
        <v>123</v>
      </c>
      <c r="G53" s="11">
        <v>153</v>
      </c>
    </row>
    <row r="54" spans="6:7" x14ac:dyDescent="0.3">
      <c r="F54" s="11" t="s">
        <v>331</v>
      </c>
      <c r="G54" s="11">
        <v>99</v>
      </c>
    </row>
    <row r="55" spans="6:7" x14ac:dyDescent="0.3">
      <c r="F55" s="11">
        <v>124</v>
      </c>
      <c r="G55" s="11">
        <v>162</v>
      </c>
    </row>
    <row r="56" spans="6:7" x14ac:dyDescent="0.3">
      <c r="F56" s="11" t="s">
        <v>332</v>
      </c>
      <c r="G56" s="11">
        <v>127</v>
      </c>
    </row>
    <row r="57" spans="6:7" x14ac:dyDescent="0.3">
      <c r="F57" s="11">
        <v>125</v>
      </c>
      <c r="G57" s="11">
        <v>160</v>
      </c>
    </row>
    <row r="58" spans="6:7" x14ac:dyDescent="0.3">
      <c r="F58" s="11" t="s">
        <v>333</v>
      </c>
      <c r="G58" s="11">
        <v>103</v>
      </c>
    </row>
    <row r="59" spans="6:7" x14ac:dyDescent="0.3">
      <c r="F59" s="11" t="s">
        <v>334</v>
      </c>
      <c r="G59" s="11">
        <v>19</v>
      </c>
    </row>
    <row r="60" spans="6:7" x14ac:dyDescent="0.3">
      <c r="F60" s="11">
        <v>126</v>
      </c>
      <c r="G60" s="11">
        <v>155</v>
      </c>
    </row>
    <row r="61" spans="6:7" x14ac:dyDescent="0.3">
      <c r="F61" s="11" t="s">
        <v>335</v>
      </c>
      <c r="G61" s="11">
        <v>106</v>
      </c>
    </row>
    <row r="62" spans="6:7" x14ac:dyDescent="0.3">
      <c r="F62" s="11" t="s">
        <v>336</v>
      </c>
      <c r="G62" s="11">
        <v>119</v>
      </c>
    </row>
    <row r="63" spans="6:7" x14ac:dyDescent="0.3">
      <c r="F63" s="11">
        <v>127</v>
      </c>
      <c r="G63" s="11">
        <v>136</v>
      </c>
    </row>
    <row r="64" spans="6:7" x14ac:dyDescent="0.3">
      <c r="F64" s="11">
        <v>128</v>
      </c>
      <c r="G64" s="11">
        <v>153</v>
      </c>
    </row>
    <row r="65" spans="6:7" x14ac:dyDescent="0.3">
      <c r="F65" s="11">
        <v>129</v>
      </c>
      <c r="G65" s="11">
        <v>156</v>
      </c>
    </row>
    <row r="66" spans="6:7" x14ac:dyDescent="0.3">
      <c r="F66" s="11" t="s">
        <v>337</v>
      </c>
      <c r="G66" s="11">
        <v>155</v>
      </c>
    </row>
    <row r="67" spans="6:7" x14ac:dyDescent="0.3">
      <c r="F67" s="11" t="s">
        <v>338</v>
      </c>
      <c r="G67" s="11">
        <v>108</v>
      </c>
    </row>
    <row r="68" spans="6:7" x14ac:dyDescent="0.3">
      <c r="F68" s="11">
        <v>130</v>
      </c>
      <c r="G68" s="11">
        <v>143</v>
      </c>
    </row>
    <row r="69" spans="6:7" x14ac:dyDescent="0.3">
      <c r="F69" s="11" t="s">
        <v>339</v>
      </c>
      <c r="G69" s="11">
        <v>120</v>
      </c>
    </row>
    <row r="70" spans="6:7" x14ac:dyDescent="0.3">
      <c r="F70" s="11">
        <v>131</v>
      </c>
      <c r="G70" s="11">
        <v>138</v>
      </c>
    </row>
    <row r="71" spans="6:7" x14ac:dyDescent="0.3">
      <c r="F71" s="11">
        <v>132</v>
      </c>
      <c r="G71" s="11">
        <v>151</v>
      </c>
    </row>
    <row r="72" spans="6:7" x14ac:dyDescent="0.3">
      <c r="F72" s="11" t="s">
        <v>340</v>
      </c>
      <c r="G72" s="11">
        <v>97</v>
      </c>
    </row>
    <row r="73" spans="6:7" x14ac:dyDescent="0.3">
      <c r="F73" s="11">
        <v>133</v>
      </c>
      <c r="G73" s="11">
        <v>156</v>
      </c>
    </row>
    <row r="74" spans="6:7" x14ac:dyDescent="0.3">
      <c r="F74" s="11" t="s">
        <v>341</v>
      </c>
      <c r="G74" s="11">
        <v>118</v>
      </c>
    </row>
    <row r="75" spans="6:7" x14ac:dyDescent="0.3">
      <c r="F75" s="11">
        <v>134</v>
      </c>
      <c r="G75" s="11">
        <v>184</v>
      </c>
    </row>
    <row r="76" spans="6:7" x14ac:dyDescent="0.3">
      <c r="F76" s="11" t="s">
        <v>342</v>
      </c>
      <c r="G76" s="11">
        <v>97</v>
      </c>
    </row>
    <row r="77" spans="6:7" x14ac:dyDescent="0.3">
      <c r="F77" s="11">
        <v>135</v>
      </c>
      <c r="G77" s="11">
        <v>158</v>
      </c>
    </row>
    <row r="78" spans="6:7" x14ac:dyDescent="0.3">
      <c r="F78" s="11" t="s">
        <v>343</v>
      </c>
      <c r="G78" s="11">
        <v>122</v>
      </c>
    </row>
    <row r="79" spans="6:7" x14ac:dyDescent="0.3">
      <c r="F79" s="11">
        <v>136</v>
      </c>
      <c r="G79" s="11">
        <v>179</v>
      </c>
    </row>
    <row r="80" spans="6:7" x14ac:dyDescent="0.3">
      <c r="F80" s="11" t="s">
        <v>344</v>
      </c>
      <c r="G80" s="11">
        <v>98</v>
      </c>
    </row>
    <row r="81" spans="6:7" x14ac:dyDescent="0.3">
      <c r="F81" s="19">
        <v>137</v>
      </c>
      <c r="G81" s="19">
        <v>188</v>
      </c>
    </row>
    <row r="82" spans="6:7" x14ac:dyDescent="0.3">
      <c r="F82" s="20" t="s">
        <v>345</v>
      </c>
      <c r="G82" s="20">
        <v>117</v>
      </c>
    </row>
    <row r="83" spans="6:7" x14ac:dyDescent="0.3">
      <c r="F83" s="20">
        <v>138</v>
      </c>
      <c r="G83" s="20">
        <v>181</v>
      </c>
    </row>
    <row r="84" spans="6:7" x14ac:dyDescent="0.3">
      <c r="F84" s="20" t="s">
        <v>346</v>
      </c>
      <c r="G84" s="20">
        <v>109</v>
      </c>
    </row>
    <row r="85" spans="6:7" x14ac:dyDescent="0.3">
      <c r="F85" s="20">
        <v>139</v>
      </c>
      <c r="G85" s="20">
        <v>159</v>
      </c>
    </row>
    <row r="86" spans="6:7" x14ac:dyDescent="0.3">
      <c r="F86" s="20" t="s">
        <v>347</v>
      </c>
      <c r="G86" s="20">
        <v>104</v>
      </c>
    </row>
    <row r="87" spans="6:7" x14ac:dyDescent="0.3">
      <c r="F87" s="20">
        <v>140</v>
      </c>
      <c r="G87" s="20">
        <v>178</v>
      </c>
    </row>
    <row r="88" spans="6:7" x14ac:dyDescent="0.3">
      <c r="F88" s="20" t="s">
        <v>348</v>
      </c>
      <c r="G88" s="20">
        <v>103</v>
      </c>
    </row>
    <row r="89" spans="6:7" x14ac:dyDescent="0.3">
      <c r="F89" s="20">
        <v>141</v>
      </c>
      <c r="G89" s="20">
        <v>185</v>
      </c>
    </row>
    <row r="90" spans="6:7" x14ac:dyDescent="0.3">
      <c r="F90" s="20" t="s">
        <v>349</v>
      </c>
      <c r="G90" s="20">
        <v>116</v>
      </c>
    </row>
    <row r="91" spans="6:7" x14ac:dyDescent="0.3">
      <c r="F91" s="20">
        <v>142</v>
      </c>
      <c r="G91" s="20">
        <v>189</v>
      </c>
    </row>
    <row r="92" spans="6:7" x14ac:dyDescent="0.3">
      <c r="F92" s="20" t="s">
        <v>350</v>
      </c>
      <c r="G92" s="20">
        <v>112</v>
      </c>
    </row>
    <row r="93" spans="6:7" x14ac:dyDescent="0.3">
      <c r="F93" s="20" t="s">
        <v>233</v>
      </c>
      <c r="G93" s="20">
        <v>24</v>
      </c>
    </row>
    <row r="94" spans="6:7" x14ac:dyDescent="0.3">
      <c r="F94" s="20">
        <v>143</v>
      </c>
      <c r="G94" s="20">
        <v>169</v>
      </c>
    </row>
    <row r="95" spans="6:7" x14ac:dyDescent="0.3">
      <c r="F95" s="20">
        <v>144</v>
      </c>
      <c r="G95" s="20">
        <v>156</v>
      </c>
    </row>
    <row r="96" spans="6:7" x14ac:dyDescent="0.3">
      <c r="F96" s="20" t="s">
        <v>233</v>
      </c>
      <c r="G96" s="20">
        <v>38</v>
      </c>
    </row>
    <row r="97" spans="6:7" x14ac:dyDescent="0.3">
      <c r="F97" s="20">
        <v>145</v>
      </c>
      <c r="G97" s="20">
        <v>175</v>
      </c>
    </row>
    <row r="98" spans="6:7" x14ac:dyDescent="0.3">
      <c r="F98" s="20" t="s">
        <v>351</v>
      </c>
      <c r="G98" s="20">
        <v>116</v>
      </c>
    </row>
    <row r="99" spans="6:7" x14ac:dyDescent="0.3">
      <c r="F99" s="20" t="s">
        <v>352</v>
      </c>
      <c r="G99" s="20">
        <v>106</v>
      </c>
    </row>
    <row r="100" spans="6:7" x14ac:dyDescent="0.3">
      <c r="F100" s="20" t="s">
        <v>353</v>
      </c>
      <c r="G100" s="20">
        <v>114</v>
      </c>
    </row>
    <row r="101" spans="6:7" x14ac:dyDescent="0.3">
      <c r="F101" s="20">
        <v>146</v>
      </c>
      <c r="G101" s="20">
        <v>169</v>
      </c>
    </row>
    <row r="102" spans="6:7" x14ac:dyDescent="0.3">
      <c r="F102" s="20">
        <v>147</v>
      </c>
      <c r="G102" s="20">
        <v>186</v>
      </c>
    </row>
    <row r="103" spans="6:7" x14ac:dyDescent="0.3">
      <c r="F103" s="20" t="s">
        <v>334</v>
      </c>
      <c r="G103" s="20">
        <v>27</v>
      </c>
    </row>
    <row r="104" spans="6:7" x14ac:dyDescent="0.3">
      <c r="F104" s="20" t="s">
        <v>354</v>
      </c>
      <c r="G104" s="20">
        <v>147</v>
      </c>
    </row>
    <row r="105" spans="6:7" x14ac:dyDescent="0.3">
      <c r="F105" s="20">
        <v>148</v>
      </c>
      <c r="G105" s="20">
        <v>176</v>
      </c>
    </row>
    <row r="106" spans="6:7" x14ac:dyDescent="0.3">
      <c r="F106" s="20">
        <v>149</v>
      </c>
      <c r="G106" s="20">
        <v>187</v>
      </c>
    </row>
    <row r="107" spans="6:7" x14ac:dyDescent="0.3">
      <c r="F107" s="20" t="s">
        <v>355</v>
      </c>
      <c r="G107" s="20">
        <v>160</v>
      </c>
    </row>
    <row r="108" spans="6:7" x14ac:dyDescent="0.3">
      <c r="F108" s="20" t="s">
        <v>356</v>
      </c>
      <c r="G108" s="20">
        <v>23</v>
      </c>
    </row>
    <row r="109" spans="6:7" x14ac:dyDescent="0.3">
      <c r="F109" s="20" t="s">
        <v>357</v>
      </c>
      <c r="G109" s="20">
        <v>171</v>
      </c>
    </row>
    <row r="110" spans="6:7" x14ac:dyDescent="0.3">
      <c r="F110" s="20">
        <v>150</v>
      </c>
      <c r="G110" s="20">
        <v>185</v>
      </c>
    </row>
    <row r="111" spans="6:7" x14ac:dyDescent="0.3">
      <c r="F111" s="20">
        <v>151</v>
      </c>
      <c r="G111" s="20">
        <v>200</v>
      </c>
    </row>
    <row r="112" spans="6:7" x14ac:dyDescent="0.3">
      <c r="F112" s="20" t="s">
        <v>358</v>
      </c>
      <c r="G112" s="20">
        <v>164</v>
      </c>
    </row>
    <row r="113" spans="6:7" x14ac:dyDescent="0.3">
      <c r="F113" s="20" t="s">
        <v>359</v>
      </c>
      <c r="G113" s="20">
        <v>137</v>
      </c>
    </row>
    <row r="114" spans="6:7" x14ac:dyDescent="0.3">
      <c r="F114" s="20">
        <v>152</v>
      </c>
      <c r="G114" s="20">
        <v>179</v>
      </c>
    </row>
    <row r="115" spans="6:7" x14ac:dyDescent="0.3">
      <c r="F115" s="20">
        <v>153</v>
      </c>
      <c r="G115" s="20">
        <v>175</v>
      </c>
    </row>
    <row r="116" spans="6:7" x14ac:dyDescent="0.3">
      <c r="F116" s="20" t="s">
        <v>360</v>
      </c>
      <c r="G116" s="20">
        <v>150</v>
      </c>
    </row>
    <row r="117" spans="6:7" x14ac:dyDescent="0.3">
      <c r="F117" s="20" t="s">
        <v>361</v>
      </c>
      <c r="G117" s="20">
        <v>136</v>
      </c>
    </row>
    <row r="118" spans="6:7" x14ac:dyDescent="0.3">
      <c r="F118" s="20" t="s">
        <v>362</v>
      </c>
      <c r="G118" s="20">
        <v>122</v>
      </c>
    </row>
    <row r="119" spans="6:7" x14ac:dyDescent="0.3">
      <c r="F119" s="20">
        <v>154</v>
      </c>
      <c r="G119" s="20">
        <v>182</v>
      </c>
    </row>
    <row r="120" spans="6:7" x14ac:dyDescent="0.3">
      <c r="F120" s="20" t="s">
        <v>363</v>
      </c>
      <c r="G120" s="20">
        <v>135</v>
      </c>
    </row>
    <row r="121" spans="6:7" x14ac:dyDescent="0.3">
      <c r="F121" s="20">
        <v>155</v>
      </c>
      <c r="G121" s="20">
        <v>194</v>
      </c>
    </row>
    <row r="122" spans="6:7" x14ac:dyDescent="0.3">
      <c r="F122" s="20" t="s">
        <v>364</v>
      </c>
      <c r="G122" s="20">
        <v>148</v>
      </c>
    </row>
    <row r="123" spans="6:7" x14ac:dyDescent="0.3">
      <c r="F123" s="20">
        <v>156</v>
      </c>
      <c r="G123" s="20">
        <v>180</v>
      </c>
    </row>
    <row r="124" spans="6:7" x14ac:dyDescent="0.3">
      <c r="F124" s="20">
        <v>157</v>
      </c>
      <c r="G124" s="20">
        <v>181</v>
      </c>
    </row>
    <row r="125" spans="6:7" x14ac:dyDescent="0.3">
      <c r="F125" s="20" t="s">
        <v>365</v>
      </c>
      <c r="G125" s="20">
        <v>135</v>
      </c>
    </row>
    <row r="126" spans="6:7" x14ac:dyDescent="0.3">
      <c r="F126" s="20" t="s">
        <v>366</v>
      </c>
      <c r="G126" s="20">
        <v>150</v>
      </c>
    </row>
    <row r="127" spans="6:7" x14ac:dyDescent="0.3">
      <c r="F127" s="20">
        <v>158</v>
      </c>
      <c r="G127" s="20">
        <v>184</v>
      </c>
    </row>
    <row r="128" spans="6:7" x14ac:dyDescent="0.3">
      <c r="F128" s="20">
        <v>159</v>
      </c>
      <c r="G128" s="20">
        <v>192</v>
      </c>
    </row>
    <row r="129" spans="6:7" x14ac:dyDescent="0.3">
      <c r="F129" s="20" t="s">
        <v>367</v>
      </c>
      <c r="G129" s="20">
        <v>141</v>
      </c>
    </row>
    <row r="130" spans="6:7" x14ac:dyDescent="0.3">
      <c r="F130" s="20">
        <v>160</v>
      </c>
      <c r="G130" s="20">
        <v>181</v>
      </c>
    </row>
    <row r="131" spans="6:7" x14ac:dyDescent="0.3">
      <c r="F131" s="20">
        <v>161</v>
      </c>
      <c r="G131" s="20">
        <v>187</v>
      </c>
    </row>
    <row r="132" spans="6:7" x14ac:dyDescent="0.3">
      <c r="F132" s="20" t="s">
        <v>368</v>
      </c>
      <c r="G132" s="20">
        <v>135</v>
      </c>
    </row>
    <row r="133" spans="6:7" x14ac:dyDescent="0.3">
      <c r="F133" s="20" t="s">
        <v>369</v>
      </c>
      <c r="G133" s="20">
        <v>132</v>
      </c>
    </row>
    <row r="134" spans="6:7" x14ac:dyDescent="0.3">
      <c r="F134" s="20" t="s">
        <v>370</v>
      </c>
      <c r="G134" s="20">
        <v>19</v>
      </c>
    </row>
    <row r="135" spans="6:7" x14ac:dyDescent="0.3">
      <c r="F135" s="20" t="s">
        <v>371</v>
      </c>
      <c r="G135" s="20">
        <v>52</v>
      </c>
    </row>
    <row r="136" spans="6:7" x14ac:dyDescent="0.3">
      <c r="F136" s="20" t="s">
        <v>372</v>
      </c>
      <c r="G136" s="20">
        <v>20</v>
      </c>
    </row>
    <row r="137" spans="6:7" x14ac:dyDescent="0.3">
      <c r="F137" s="20" t="s">
        <v>373</v>
      </c>
      <c r="G137" s="20">
        <v>26</v>
      </c>
    </row>
    <row r="138" spans="6:7" x14ac:dyDescent="0.3">
      <c r="F138" s="20"/>
      <c r="G138" s="20"/>
    </row>
    <row r="139" spans="6:7" x14ac:dyDescent="0.3">
      <c r="F139" s="20"/>
      <c r="G139" s="20"/>
    </row>
    <row r="140" spans="6:7" x14ac:dyDescent="0.3">
      <c r="F140" s="20"/>
      <c r="G140" s="20"/>
    </row>
    <row r="141" spans="6:7" x14ac:dyDescent="0.3">
      <c r="F141" s="20"/>
      <c r="G141" s="20"/>
    </row>
    <row r="142" spans="6:7" x14ac:dyDescent="0.3">
      <c r="F142" s="20"/>
      <c r="G142" s="20"/>
    </row>
    <row r="143" spans="6:7" x14ac:dyDescent="0.3">
      <c r="F143" s="20"/>
      <c r="G143" s="20"/>
    </row>
    <row r="144" spans="6:7" x14ac:dyDescent="0.3">
      <c r="F144" s="20"/>
      <c r="G144" s="20"/>
    </row>
    <row r="145" spans="6:7" x14ac:dyDescent="0.3">
      <c r="F145" s="20"/>
      <c r="G145" s="20"/>
    </row>
    <row r="146" spans="6:7" x14ac:dyDescent="0.3">
      <c r="F146" s="20"/>
      <c r="G146" s="20"/>
    </row>
    <row r="147" spans="6:7" x14ac:dyDescent="0.3">
      <c r="F147" s="20"/>
      <c r="G147" s="20"/>
    </row>
    <row r="148" spans="6:7" x14ac:dyDescent="0.3">
      <c r="F148" s="20"/>
      <c r="G148" s="20"/>
    </row>
    <row r="149" spans="6:7" x14ac:dyDescent="0.3">
      <c r="F149" s="20"/>
      <c r="G149" s="20"/>
    </row>
    <row r="150" spans="6:7" x14ac:dyDescent="0.3">
      <c r="F150" s="20"/>
      <c r="G150" s="20"/>
    </row>
    <row r="151" spans="6:7" x14ac:dyDescent="0.3">
      <c r="F151" s="20"/>
      <c r="G151" s="20"/>
    </row>
    <row r="152" spans="6:7" x14ac:dyDescent="0.3">
      <c r="F152" s="20"/>
      <c r="G152" s="20"/>
    </row>
    <row r="153" spans="6:7" x14ac:dyDescent="0.3">
      <c r="F153" s="20"/>
      <c r="G153" s="20"/>
    </row>
    <row r="154" spans="6:7" x14ac:dyDescent="0.3">
      <c r="F154" s="20"/>
      <c r="G154" s="20"/>
    </row>
    <row r="155" spans="6:7" x14ac:dyDescent="0.3">
      <c r="F155" s="20"/>
      <c r="G155" s="20"/>
    </row>
    <row r="156" spans="6:7" x14ac:dyDescent="0.3">
      <c r="F156" s="20"/>
      <c r="G156" s="20"/>
    </row>
    <row r="157" spans="6:7" x14ac:dyDescent="0.3">
      <c r="F157" s="20"/>
      <c r="G157" s="20"/>
    </row>
    <row r="158" spans="6:7" x14ac:dyDescent="0.3">
      <c r="F158" s="20"/>
      <c r="G158" s="20"/>
    </row>
    <row r="159" spans="6:7" x14ac:dyDescent="0.3">
      <c r="F159" s="20"/>
      <c r="G159" s="20"/>
    </row>
    <row r="160" spans="6:7" x14ac:dyDescent="0.3">
      <c r="F160" s="20"/>
      <c r="G160" s="20"/>
    </row>
    <row r="161" spans="6:7" x14ac:dyDescent="0.3">
      <c r="F161" s="20"/>
      <c r="G161" s="20"/>
    </row>
    <row r="162" spans="6:7" x14ac:dyDescent="0.3">
      <c r="F162" s="20"/>
      <c r="G162" s="20"/>
    </row>
    <row r="163" spans="6:7" x14ac:dyDescent="0.3">
      <c r="F163" s="20"/>
      <c r="G163" s="20"/>
    </row>
    <row r="164" spans="6:7" x14ac:dyDescent="0.3">
      <c r="F164" s="20"/>
      <c r="G164" s="20"/>
    </row>
    <row r="165" spans="6:7" x14ac:dyDescent="0.3">
      <c r="F165" s="20"/>
      <c r="G165" s="20"/>
    </row>
    <row r="166" spans="6:7" x14ac:dyDescent="0.3">
      <c r="F166" s="20"/>
      <c r="G166" s="20"/>
    </row>
  </sheetData>
  <mergeCells count="5">
    <mergeCell ref="L1:M3"/>
    <mergeCell ref="B1:C3"/>
    <mergeCell ref="B17:C19"/>
    <mergeCell ref="B39:C41"/>
    <mergeCell ref="J15:M18"/>
  </mergeCells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RESUMEN DE CONSUMO</vt:lpstr>
      <vt:lpstr>INGRESO</vt:lpstr>
      <vt:lpstr>INGRESO DIGI</vt:lpstr>
      <vt:lpstr>BASE</vt:lpstr>
      <vt:lpstr>Hoja1</vt:lpstr>
      <vt:lpstr>ANALISIS</vt:lpstr>
      <vt:lpstr>INGRESO - INTELLISHOT</vt:lpstr>
      <vt:lpstr>'INGRESO - INTELLISHOT'!BASE</vt:lpstr>
      <vt:lpstr>BASE</vt:lpstr>
      <vt:lpstr>BD</vt:lpstr>
      <vt:lpstr>DATOS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Necineida Quispe Huaman</cp:lastModifiedBy>
  <cp:revision/>
  <dcterms:created xsi:type="dcterms:W3CDTF">2023-01-04T20:20:20Z</dcterms:created>
  <dcterms:modified xsi:type="dcterms:W3CDTF">2024-08-29T19:00:30Z</dcterms:modified>
  <cp:category/>
  <cp:contentStatus/>
</cp:coreProperties>
</file>